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64011"/>
  <bookViews>
    <workbookView xWindow="0" yWindow="0" windowWidth="23040" windowHeight="8784"/>
  </bookViews>
  <sheets>
    <sheet name="Auditoría" sheetId="1" r:id="rId1"/>
  </sheets>
  <externalReferences>
    <externalReference r:id="rId2"/>
  </externalReferences>
  <definedNames>
    <definedName name="_xlnm._FilterDatabase" localSheetId="0" hidden="1">Auditoría!$A$1:$R$170</definedName>
  </definedNames>
  <calcPr calcId="162913"/>
</workbook>
</file>

<file path=xl/calcChain.xml><?xml version="1.0" encoding="utf-8"?>
<calcChain xmlns="http://schemas.openxmlformats.org/spreadsheetml/2006/main">
  <c r="L139" i="1" l="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1" i="1"/>
  <c r="L100" i="1"/>
  <c r="L99" i="1"/>
  <c r="L98" i="1"/>
  <c r="L97" i="1"/>
  <c r="L96" i="1"/>
  <c r="L95" i="1"/>
  <c r="L94" i="1"/>
  <c r="L93" i="1"/>
  <c r="L92" i="1"/>
  <c r="L91" i="1"/>
  <c r="L90" i="1"/>
  <c r="L89" i="1"/>
  <c r="L88" i="1"/>
  <c r="L87" i="1"/>
  <c r="L86" i="1"/>
  <c r="L85" i="1"/>
  <c r="L84" i="1"/>
  <c r="L83" i="1"/>
  <c r="L82" i="1"/>
  <c r="L81" i="1"/>
  <c r="L80" i="1"/>
  <c r="L79" i="1"/>
  <c r="L78" i="1"/>
  <c r="L76" i="1"/>
  <c r="L75" i="1"/>
  <c r="L74" i="1"/>
  <c r="L71" i="1"/>
  <c r="L70" i="1"/>
  <c r="L69" i="1"/>
  <c r="L68" i="1"/>
  <c r="L67" i="1"/>
  <c r="L66" i="1"/>
  <c r="L65" i="1"/>
  <c r="L64" i="1"/>
  <c r="L63" i="1"/>
  <c r="L62" i="1"/>
  <c r="L61" i="1"/>
  <c r="L60" i="1"/>
  <c r="L59" i="1"/>
  <c r="L58" i="1"/>
  <c r="L57" i="1"/>
  <c r="L56" i="1"/>
  <c r="L55" i="1"/>
  <c r="L54" i="1"/>
  <c r="L53" i="1"/>
  <c r="L52"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alcChain>
</file>

<file path=xl/sharedStrings.xml><?xml version="1.0" encoding="utf-8"?>
<sst xmlns="http://schemas.openxmlformats.org/spreadsheetml/2006/main" count="2071" uniqueCount="312">
  <si>
    <t>Nro. Orden</t>
  </si>
  <si>
    <t>Tipo de orden</t>
  </si>
  <si>
    <t>Centros de costos</t>
  </si>
  <si>
    <t>Estado Orden</t>
  </si>
  <si>
    <t>Contabilizada</t>
  </si>
  <si>
    <t>Fecha de la orden</t>
  </si>
  <si>
    <t>Status de documento</t>
  </si>
  <si>
    <t>Equipo</t>
  </si>
  <si>
    <t>Nombre Equipo</t>
  </si>
  <si>
    <t>Tarea</t>
  </si>
  <si>
    <t>Estado Tarea</t>
  </si>
  <si>
    <t>Tipo de Hallazgo</t>
  </si>
  <si>
    <t>Detalle</t>
  </si>
  <si>
    <t>Correctivo</t>
  </si>
  <si>
    <t>CIUD</t>
  </si>
  <si>
    <t>No</t>
  </si>
  <si>
    <t>O</t>
  </si>
  <si>
    <t>JKG664</t>
  </si>
  <si>
    <t>ATEGO 1725</t>
  </si>
  <si>
    <t>Engrase tractor completo</t>
  </si>
  <si>
    <t>Terminada</t>
  </si>
  <si>
    <t>2) Desconexión de material (Falta 'GRASA', 'ACEITE', 'REFRIGERANTE')</t>
  </si>
  <si>
    <t>Liberada</t>
  </si>
  <si>
    <t>ATEGO 1729</t>
  </si>
  <si>
    <t>1620</t>
  </si>
  <si>
    <t>ATRON 1720</t>
  </si>
  <si>
    <t>No iniciada</t>
  </si>
  <si>
    <t>1) Orden sin repuestos asignados</t>
  </si>
  <si>
    <t>Ningún material cargado en la orden</t>
  </si>
  <si>
    <t>MNZA</t>
  </si>
  <si>
    <t>Agregar liquido refrigerante</t>
  </si>
  <si>
    <t>3) Planificado sin Salida física (Salidas = 0)</t>
  </si>
  <si>
    <t>Materiales planificados con Salida Cero: TERMOSTATO DE TEMPERATURA (71°) MB 710 (32033275) - MAHLE, SILOC FORMADOR DE JUNTA 8600 X 98GR, LIQUIDO REFRIGERANTE KRIOX INORGANICO X 1000LTS</t>
  </si>
  <si>
    <t>LFK338</t>
  </si>
  <si>
    <t>AXOR 2035</t>
  </si>
  <si>
    <t>OFV179</t>
  </si>
  <si>
    <t>32-CORT. LAT. 3 EJES-1</t>
  </si>
  <si>
    <t>ATEGO 1418</t>
  </si>
  <si>
    <t>Tercero</t>
  </si>
  <si>
    <t>SRAF</t>
  </si>
  <si>
    <t>HRJ002</t>
  </si>
  <si>
    <t>1318</t>
  </si>
  <si>
    <t>Engrase Completo</t>
  </si>
  <si>
    <t>MQU466</t>
  </si>
  <si>
    <t>SCANIA P360 A6X2</t>
  </si>
  <si>
    <t>Cambiar junta de compresor de aire</t>
  </si>
  <si>
    <t>Preventivo</t>
  </si>
  <si>
    <t>OZH811</t>
  </si>
  <si>
    <t>Cambio De Aceite De Motor Y Filtro Aceite</t>
  </si>
  <si>
    <t>2) Desconexión de material (Falta 'FILTRO', 'ACEITE', 'LEVANTAVENTANAS')</t>
  </si>
  <si>
    <t>Materiales cargados no coinciden: FILTRO DE ACEITE 6 CILINDROS MB 1725/1726/1933/1624L/1721 OF ELECTRONICO - MANN HU 945/2x, ACEITE 15W40 XV300 X 205LT (TAMBOR)</t>
  </si>
  <si>
    <t>AXOR 1933</t>
  </si>
  <si>
    <t>Cambio De Filtro Gas Oíl Y Trampa De Agua</t>
  </si>
  <si>
    <t>2) Desconexión de material (Falta 'FILTRO')</t>
  </si>
  <si>
    <t>TECTOR EVO 170E28</t>
  </si>
  <si>
    <t>LTS288</t>
  </si>
  <si>
    <t>ATEGO 1419</t>
  </si>
  <si>
    <t>AF639HA</t>
  </si>
  <si>
    <t>Cambio Tambor De Arranque Con Llave</t>
  </si>
  <si>
    <t>Materiales planificados con Salida Cero: TAMBOR DE ARRANQUE IVECO TECTOR (61188400) - KOSTAL, BULON HEXAGONAL 8X50MM X UN, AZUL 32 UREA x 1000LTS, ARANDELA BISELADA 8MM, BALDE GRASA LUBRIGON X 20 KG</t>
  </si>
  <si>
    <t>AF118QA</t>
  </si>
  <si>
    <t>Materiales cargados no coinciden: FILTRO DE COMBUSTIBLE - MANN PU1046/1X, FILTRO TRAMPA DE AGUA MB 1933S (A 000 470 24 90) - MANN PU 9198X</t>
  </si>
  <si>
    <t>GUW657</t>
  </si>
  <si>
    <t>1624</t>
  </si>
  <si>
    <t>2) Desconexión de material (Falta 'OPTICA')</t>
  </si>
  <si>
    <t>IDX163</t>
  </si>
  <si>
    <t>Engrase Completo Semi</t>
  </si>
  <si>
    <t>PALETERO S.PA.3E.71 2+1</t>
  </si>
  <si>
    <t>AXOR 2541</t>
  </si>
  <si>
    <t>2) Desconexión de material (Falta 'ACEITE')</t>
  </si>
  <si>
    <t>AD426HW</t>
  </si>
  <si>
    <t>2) Desconexión de material (Falta 'JUNTA')</t>
  </si>
  <si>
    <t>OJG065</t>
  </si>
  <si>
    <t>GFZ650</t>
  </si>
  <si>
    <t>Cambiar Tensor Correa Poli V</t>
  </si>
  <si>
    <t>KUF605</t>
  </si>
  <si>
    <t>1634</t>
  </si>
  <si>
    <t>Agregar Aceite (Tractor)</t>
  </si>
  <si>
    <t>Materiales cargados no coinciden: ACOPLE RAPIDO RECTO DE 4MM, ACOPLE RÁPIDO RECTO DE 6MM (UNIVERSAL), ACOPLE RAPIDO RECTO DE 8MM, ACOPLE RAPIDO RECTO DE 10MM, ACOPLE RÁPIDO RECTO DE 12MM (UNIVERSAL), FUSIBLE 15 AMP - GENROD, FUSIBLE 10 AMP, ACEITE 15W40 XV300 X 205LT (TAMBOR)</t>
  </si>
  <si>
    <t>Reparo Cortocircuito En Instalación Faros De Posicion</t>
  </si>
  <si>
    <t>Cambiar Tapa De Tanque Gas Oil</t>
  </si>
  <si>
    <t>2) Desconexión de material (Falta 'TAPA DE COMBUSTIBLE', 'DEPOSITO')</t>
  </si>
  <si>
    <t>Cambiar Faro De Giro Delantero Der</t>
  </si>
  <si>
    <t>JXZ992</t>
  </si>
  <si>
    <t>AD426IH</t>
  </si>
  <si>
    <t>JJH871</t>
  </si>
  <si>
    <t>2) Desconexión de material (Falta 'VALVULA')</t>
  </si>
  <si>
    <t>AB029TN</t>
  </si>
  <si>
    <t>ACCELO 815</t>
  </si>
  <si>
    <t>KHS012</t>
  </si>
  <si>
    <t>KER728</t>
  </si>
  <si>
    <t>Materiales cargados no coinciden: FILTRO DE COMBUSTIBLE - MANN PU1046/1X, FILTRO TRAMPA DE AGUA MB AXOR 1933 - MANN WK 1060/4</t>
  </si>
  <si>
    <t>Agregar Urea</t>
  </si>
  <si>
    <t>G310</t>
  </si>
  <si>
    <t>Desarme y Arme Faros Traseros para Cambio de Lámpara</t>
  </si>
  <si>
    <t>Agregar Liquido Hidraulico</t>
  </si>
  <si>
    <t>2) Desconexión de material (Falta 'ACEITE', 'REFRIGERANTE')</t>
  </si>
  <si>
    <t>BVH267</t>
  </si>
  <si>
    <t>914</t>
  </si>
  <si>
    <t>Materiales cargados no coinciden: BRAZO LIMPIA PARABRISAS MB SPRINTER 313 (A 901 820 00 44) - ORIGINAL, ESCOBILLA LIMPIA PARABRISAS 24" - BOSCH (B172), ESCOBILLA LIMPIA PARABRISAS 22" MB SPRINTER - TRICO TR 70-220, LIQUIDO REFRIGERANTE KRIOX INORGANICO X 1000LTS, TECLA DE LUZ 12V 8P MB 1624/1620/1318 ( 6955458914) - KOSTAL (3040105), ACEITE 15W40 XV300 X 205LT (TAMBOR), REMACHE POP ALUMINIO DE 5MM DIAMETRO X 20MM LARGO, PRECINTOS 400X7,2MM X 100 UNI - BREMEN</t>
  </si>
  <si>
    <t>Materiales planificados con Salida Cero: FILTRO DE ACEITE 6 CILINDROS MB 1318/1218/1215/914/712/1418/915/815 - MANN HU931/5X, ACEITE 15W40 XV300 X 205LT (TAMBOR)</t>
  </si>
  <si>
    <t>Cambio Fusible</t>
  </si>
  <si>
    <t>OJG098</t>
  </si>
  <si>
    <t>FQT894</t>
  </si>
  <si>
    <t>Cambiar bombin de embrague</t>
  </si>
  <si>
    <t>Materiales planificados con Salida Cero: BOMBIN INFERIOR DE EMBRAGUE MB 1620 (A 386 295 72 07) - TRW</t>
  </si>
  <si>
    <t>OAF635</t>
  </si>
  <si>
    <t>16-BDAS. VOLC. 3 EJES</t>
  </si>
  <si>
    <t>Materiales planificados con Salida Cero: RECAPADO NEUMATICO 295</t>
  </si>
  <si>
    <t>Cambiar Tapon De Carter</t>
  </si>
  <si>
    <t>Materiales planificados con Salida Cero: TAPON DE CARTER 20MM (OM904/906), ARANDELA ALUMINIO 20MM</t>
  </si>
  <si>
    <t>2) Desconexión de material (Falta 'GOBERNADORA')</t>
  </si>
  <si>
    <t>2) Desconexión de material (Falta 'INSTALACION ELECTRICA', 'CABLE POSITIVO FUSIBLES')</t>
  </si>
  <si>
    <t>Cambiar junta tapa valvula</t>
  </si>
  <si>
    <t>Colocar Paragolpes Trasero</t>
  </si>
  <si>
    <t>2) Desconexión de material (Falta 'PARAGOLPE')</t>
  </si>
  <si>
    <t>KUF609</t>
  </si>
  <si>
    <t>Materiales planificados con Salida Cero: FILTRO DE ACEITE 6 CILINDROS MB 1725/1726/1933/1624L/1721 OF ELECTRONICO - MANN HU 945/2x, ACEITE 15W40 XV300 X 205LT (TAMBOR)</t>
  </si>
  <si>
    <t>GNY198</t>
  </si>
  <si>
    <t>Cambiar filtro de aire</t>
  </si>
  <si>
    <t>Materiales planificados con Salida Cero: FILTRO DE AIRE MB 712/914 - MANN C 20457/1</t>
  </si>
  <si>
    <t>Materiales planificados con Salida Cero: FILTRO DE AIRE - MANN C27902</t>
  </si>
  <si>
    <t>Colocar inyectores y bomba inyectora</t>
  </si>
  <si>
    <t>Materiales planificados con Salida Cero: GRASA DE LITIO x 180KG</t>
  </si>
  <si>
    <t>AF804RA</t>
  </si>
  <si>
    <t>Materiales cargados no coinciden: DIAFRAGMA DE TAPA DE VALVULAS MB ELECTRÓNICO (A 000 018 01 33) - PAMPA, JUNTA DE TAPA DE VALVULAS MB 1318 (904) - ELRING, LIJA AL AGUA 230x280 GR120, BULON CABEZA REDONDA CUELLO CUADRADO 1/4 x 2.1/2  C/TUERCA</t>
  </si>
  <si>
    <t>GOX959</t>
  </si>
  <si>
    <t>AF247UT</t>
  </si>
  <si>
    <t>2) Desconexión de material (Falta 'EMBRAGUE')</t>
  </si>
  <si>
    <t>Cambiar Valvula Rueda Interna</t>
  </si>
  <si>
    <t>2) Desconexión de material (Falta 'VALVULA', 'RUEDA')</t>
  </si>
  <si>
    <t>Materiales cargados no coinciden: LAMPARA H7 24V  - NEOLUX, LIQUIDO REFRIGERANTE KRIOX INORGANICO X 1000LTS, ALARGUES DE PLASTICO X 150mm</t>
  </si>
  <si>
    <t>JIU311</t>
  </si>
  <si>
    <t>Cambiar lampara 5w 24v</t>
  </si>
  <si>
    <t>Materiales planificados con Salida Cero: LAMPARA 24V 5W (C/CULOTE) - NEOLUX, ACOPLE RAPIDO RECTO DE 8MM, LIQUIDO REFRIGERANTE 50/50 X 1000LTS</t>
  </si>
  <si>
    <t>Cambio Porta Fusibles Aereos</t>
  </si>
  <si>
    <t>Cambiar lamparas</t>
  </si>
  <si>
    <t>Materiales planificados con Salida Cero: FILTRO DE COMBUSTIBLE MANN PU1046/1X</t>
  </si>
  <si>
    <t>2) Desconexión de material (Falta 'BUJE', 'BARRA ESTABILIZADORA')</t>
  </si>
  <si>
    <t>OHH591</t>
  </si>
  <si>
    <t>AF444TW</t>
  </si>
  <si>
    <t>Materiales planificados con Salida Cero: FILTRO DE COMBUSTIBLE MANN PU1046/1X, FILTRO TRAMPA DE AGUA MB 1318 (A 695 470 00 90) - WK 1060/4</t>
  </si>
  <si>
    <t>Colocar Bombin de Embrague</t>
  </si>
  <si>
    <t>Cambiar Caja Reguladora De Frenos Del Der</t>
  </si>
  <si>
    <t>Cambiar Termostato</t>
  </si>
  <si>
    <t>Materiales cargados no coinciden: FILTRO TRAMPA DE AGUA SCANIA G410/G310/P340/R410 - MAHLE, FILTRO DE COMBUSTIBLE - MANN PU1046/1X</t>
  </si>
  <si>
    <t>Cambiar Electrovalvula (Eje Neumatico)</t>
  </si>
  <si>
    <t>Realizar Instalacion Electrica Luces Interior Termico</t>
  </si>
  <si>
    <t>Materiales cargados no coinciden: LLAVE 1 PUNTO T/M. BENZ, INTERCOOLER MB 1318 (A 695 501 08 01) - VISCONDE, MANIJA DE PUERTA INTERNA (56572D) - MAYREA, ESCOBILLA LIMPIA PARABRISAS 26" (650MM) - BOSCH (B162), REMACHE POP ALUMINIO DE 5MM DIAMETRO X 20MM LARGO, LAMPARA 24V 5W (C/CULOTE) - NEOLUX, TORNILLO AUTOPERFORANTE 8X1 1/4 (PUNTA MECHA) X UN, CANULA TUBULADORA MB 1624 (A 541 017 03 24) - BOSCH</t>
  </si>
  <si>
    <t>AUTOELEVADOR HELI</t>
  </si>
  <si>
    <t>H SERIE</t>
  </si>
  <si>
    <t>Cambiar resorte fijacion zapatas</t>
  </si>
  <si>
    <t>2) Desconexión de material (Falta 'RESORTE', 'FUELLE')</t>
  </si>
  <si>
    <t>Materiales cargados no coinciden: CILINDRO DE FRENO PARA AUTOELEVADOR HELLI INT:22,2 ROSCA:3/8" L:90MM - IMBASA (97101D), TEMPORIZADOR DE PRECALENTAMIENTO 12V - RALUX (T9147), RESORTE PARA PATIN DE FRENO PARA AUTOELEVADOR HELLI 125X14X3 MM - CHAJA (2224)</t>
  </si>
  <si>
    <t>Colocar Spoiler Nuevo a Unidad</t>
  </si>
  <si>
    <t>2) Desconexión de material (Falta 'SPOILER')</t>
  </si>
  <si>
    <t>Materiales cargados no coinciden: POLYFIBER SIKKENS X 1.5KG, PINTURA BLANCO ARTICO AUTOMOTOR PU (GKM INSUMOS) x 4LT, CATALIZADOR AKZONOBEL SIKKENS HARDENER P25 x 5 LTS, DISCO DE LIJA 120 (ROTO-ORBITAL) - LINEA BLUE 3M, REPARACION DE VALVULA 6 VIAS (ART. REPARADO), REPARACION DE VALVULA RELAY (ART. REPARADO), FILTRO DE AIRE APU - MANN TB1374/13X, LIJA AL AGUA 230x280 GR360, PASTILLAS DE FRENO - FRASLE (PD116/PD1749 FF)</t>
  </si>
  <si>
    <t>GTE287</t>
  </si>
  <si>
    <t>Cambiar Correas</t>
  </si>
  <si>
    <t>2) Desconexión de material (Falta 'CORREA')</t>
  </si>
  <si>
    <t>Materiales cargados no coinciden: VOLANTE DE CAMION MB 42MM - MAYREA, FARO MB 1318/1624/1720/1620 - (96334300), LAMPARA 24V 21W - NEOLUX, LAMPARA 24V 5W (S/CULOTE) - NEOLUX, AMORTIGUADOR DELANTERO 1624/1318 (A 695 323 71 00) - SACHS (314594009), LAMPARA 24V 5W (S/CULOTE) - NEOLUX</t>
  </si>
  <si>
    <t>Reparo Instalacion de Bocina</t>
  </si>
  <si>
    <t>2) Desconexión de material (Falta 'BOCINA')</t>
  </si>
  <si>
    <t>2) Desconexión de material (Falta 'LAMPARA', 'OPTICA', 'LUZ')</t>
  </si>
  <si>
    <t>Cambiar bulbo de Stop del Remolque</t>
  </si>
  <si>
    <t>2) Desconexión de material (Falta 'BULBO')</t>
  </si>
  <si>
    <t>Materiales cargados no coinciden: FARO TRASERO DER MB 2541 (A 003 544 63 03) - BECKMAN, BULBO DE PRESION DE AIRE MB 1624 (A 693 545 76 09) - GT (6935457609/1), LAMPARA 24V 5W (C/CULOTE) - NEOLUX, LAMPARA 24V 21W - NEOLUX</t>
  </si>
  <si>
    <t>Cambiar Valvula Compensadora</t>
  </si>
  <si>
    <t>GUW658</t>
  </si>
  <si>
    <t>Agrego Aceite De Diferencial</t>
  </si>
  <si>
    <t>Materiales cargados no coinciden: TIRANTE DE SUJECION DE ESPEJO RETROVISOR MB 1624 (A 694 810 00 37) - BEPO, CUENTA REVOLUCIONES MB (A 004 542 26 16) - ORIGINAL, FUELLE PALANCA DE CAMBIOS MB 1620/1624 (A 688 267 70 96) - ALTERNATIVO, CUBIERTA LINEAL 275 R22.5 - EVERGREEN, ACEITE 80W X 205LTS</t>
  </si>
  <si>
    <t>Materiales cargados no coinciden: REPARACION DE VALVULA COMPENSADORA DE FRENO (ART. REPARADO), CAJA REGULADORA TRASERA 28 ESTRIAS UNIVERSAL (Art. Reparado)., MANIJA CIERRE CINCADO - "GARRA CECCONI" - CECCONI (02061042), TORNILLO AUTOPERFORANTE HEXAGONAL 1/4" (Ø6.3MM) X 1 1/2" – CABEZA 3/8" C/ ARANDELA – ACERO ZINCADO –</t>
  </si>
  <si>
    <t>Cambio Manija De Cierre Trincado (Manito) De Lona</t>
  </si>
  <si>
    <t>2) Desconexión de material (Falta 'LONA', 'MANIJA', 'CANDADO')</t>
  </si>
  <si>
    <t>Colocar Chapa Zócalo Portón c/Remaches</t>
  </si>
  <si>
    <t>2) Desconexión de material (Falta 'TORNILO', 'PATENTE', 'CHAPA', 'PORTALAMPARA')</t>
  </si>
  <si>
    <t>Cambiar y Modificar Rienda De Espejo Der</t>
  </si>
  <si>
    <t>2) Desconexión de material (Falta 'ESPEJO', 'RIENDA DE PUERTA')</t>
  </si>
  <si>
    <t>AF743LB</t>
  </si>
  <si>
    <t>Materiales cargados no coinciden: VALVULA DOSIFICADORA DE UREA ATEGO 1729  (A 000 140 41 39) - ORIGINAL, LAMPARA 24V 5W (C/CULOTE) - NEOLUX, ACEITE 15W40 XV300 X 205LT (TAMBOR)</t>
  </si>
  <si>
    <t>Cambiar Bomba Dosificadora De Adblue</t>
  </si>
  <si>
    <t>2) Desconexión de material (Falta 'BOMBA', 'UREA')</t>
  </si>
  <si>
    <t>Colocar Estribo Derecho</t>
  </si>
  <si>
    <t>2) Desconexión de material (Falta 'ESTRIBO')</t>
  </si>
  <si>
    <t>Materiales cargados no coinciden: GRASA 62 X 20 KG</t>
  </si>
  <si>
    <t>LUW863</t>
  </si>
  <si>
    <t>ACOPLADO BARANDA VOLC. 3 EJES</t>
  </si>
  <si>
    <t>Cambiar Cubierta 3DE</t>
  </si>
  <si>
    <t>Cambiar Cubierta 3DI</t>
  </si>
  <si>
    <t>Cambiar Cubierta 3II</t>
  </si>
  <si>
    <t>Materiales cargados no coinciden: RIENDA DE PUERTA MB 1215 - RGL, LAMPARA 24V 5W (S/CULOTE) - NEOLUX, LAMPARA 24V 5W (S/CULOTE) - NEOLUX, TOPE DE CABINA S4 SCANIA G310 (1349805) ORIGINAL, BALDE GRASA LUBRIGON X 20 KG</t>
  </si>
  <si>
    <t>Cambiar Buje Barra Estabilizadora</t>
  </si>
  <si>
    <t>Cambio Tecla De Luz</t>
  </si>
  <si>
    <t>2) Desconexión de material (Falta 'LAMPARA', 'TECLA', 'LUZ', 'LLAVE')</t>
  </si>
  <si>
    <t>Materiales cargados no coinciden: LLAVE 1 PUNTO T/M. BENZ, BATERIA 12V 100A - MOURA (ME100HI), BALDE GRASA LUBRIGON X 20 KG</t>
  </si>
  <si>
    <t>Acomodo Instalacion De Fusilera</t>
  </si>
  <si>
    <t>2) Desconexión de material (Falta 'FUSILERA')</t>
  </si>
  <si>
    <t>Repara Instalacion de Tecla de Luces</t>
  </si>
  <si>
    <t>2) Desconexión de material (Falta 'TECLA', 'INSTALACION ELECTRICA', 'LLAVE')</t>
  </si>
  <si>
    <t>KUF606</t>
  </si>
  <si>
    <t>Materiales planificados con Salida Cero: ACEITE 15W40 XV300 X 205LT (TAMBOR)</t>
  </si>
  <si>
    <t>OAF640</t>
  </si>
  <si>
    <t>Colocar Servo Embrague Usado</t>
  </si>
  <si>
    <t>Materiales cargados no coinciden: PULMON DE FRENO 20/24 MB 710/712 - BINS</t>
  </si>
  <si>
    <t>OJG060</t>
  </si>
  <si>
    <t>Materiales planificados con Salida Cero: SIKAFLEX 221 x 600ml (SALCHICHA), TORNILLO HEXAGONAL MECHA POR CAJA 14x22 MM, BALDE GRASA LUBRIGON X 20 KG</t>
  </si>
  <si>
    <t>Materiales planificados con Salida Cero: BALDE GRASA LUBRIGON X 20 KG</t>
  </si>
  <si>
    <t>Agrego Liquido De Frenos</t>
  </si>
  <si>
    <t>Materiales planificados con Salida Cero: LIQUIDO P/FRENOS C12/1000 (CAJA 12 x 1LT)</t>
  </si>
  <si>
    <t>Engraso Guia De Levnata Vidrio</t>
  </si>
  <si>
    <t>Materiales planificados con Salida Cero: COLIZA IZQ AXOR/ATEGO (A 958 722 00 25) - LISGOM, TIRANTE DE SUJECION DE ESPEJO RETROVISOR MB 1624 (A 694 810 00 37) ORIGINAL, BALDE GRASA LUBRIGON X 20 KG</t>
  </si>
  <si>
    <t>Cambiar Coliza De Vidrio Puerta Izq</t>
  </si>
  <si>
    <t>Cambiar Soporte De Espejo</t>
  </si>
  <si>
    <t>Materiales planificados con Salida Cero: CANDADO TRABEX BLINDADO 20MM, RECAPADO NEUMATICO 295, LLANTA 8.25 X 22.5 - 10 AGUJEROS, ESPARRAGOS DE RUEDA CON TUERCA 100,9x22,3, TUERCA PARA RUEDA (ø22mm) EXTERIOR 32MM</t>
  </si>
  <si>
    <t>Cambiar Llanta</t>
  </si>
  <si>
    <t>Cambiar Candado</t>
  </si>
  <si>
    <t>Cambiar Cubiertas 3 Eje Izq 3II / 3IE Desarme y Arme - Recapado</t>
  </si>
  <si>
    <t>Materiales planificados con Salida Cero: FILTRO TRAMPA DE AGUA MB 1933S (A 000 470 24 90) - MANN PU 9198X, FILTRO DE COMBUSTIBLE MANN PU1046/1X</t>
  </si>
  <si>
    <t>Materiales planificados con Salida Cero: FILTRO DE AIRE MB 2426/AXOR 1933 - MANN C28 1012</t>
  </si>
  <si>
    <t>IRC117</t>
  </si>
  <si>
    <t>SPRINTER 413 SDI/F</t>
  </si>
  <si>
    <t>AF461DB</t>
  </si>
  <si>
    <t>Engrase de Ruleman 3Eje Lado Der</t>
  </si>
  <si>
    <t>Materiales planificados con Salida Cero: PORTA FUSIBLE AEREO - ORO (1057), LLAVE 1 PUNTO T/M. BENZ, FUSIBLE 10 AMP - GENROD, ELECTROVÁLVULA DE EJE NEUMATICO 24V de V 5/2 – 1/4 - EDC, DIAFRAGMA DE FRENO N 30 - BINS, READECUACION DE CINTAS DE FRENO DE AUTOELEVADOR (Art. Reparado), REMACHE POP ALUMINIO DE 5MM DIAMETRO X 20MM LARGO, REMACHE POP ALUMINIO DE 5MM DIAMETRO X 20MM LARGO, BALDE GRASA LUBRIGON X 20 KG</t>
  </si>
  <si>
    <t>Engrase de Ruleman 3Eje Lado Izq</t>
  </si>
  <si>
    <t>Colocar Ficha De Eje Neumatico</t>
  </si>
  <si>
    <t>Colocar Llave de 1 Punto</t>
  </si>
  <si>
    <t>Coloco Cable Tipo Taller 2X1mm</t>
  </si>
  <si>
    <t>Cambio Diafragma De Freno Traso Izq</t>
  </si>
  <si>
    <t>JHD034</t>
  </si>
  <si>
    <t>2) Desconexión de material (Falta 'GRASA', 'ACEITE', 'REFRIGERANTE'; Acción de lubricación ('Engrase Completo') sin material de tipo grasa/lubricante)</t>
  </si>
  <si>
    <t>Materiales cargados no coinciden: ACOPLE RAPIDO RECTO DE 10MM</t>
  </si>
  <si>
    <t>OAF642</t>
  </si>
  <si>
    <t>OAF643</t>
  </si>
  <si>
    <t>Materiales planificados con Salida Cero: LAMPARA 24V 5W (C/CULOTE) - NEOLUX, LAMPARA 24V 5W (S/CULOTE) - NEOLUX, SIKAFLEX 221 x 600ml (SALCHICHA), BALDE GRASA LUBRIGON X 20 KG</t>
  </si>
  <si>
    <t>Cambiar Lampara 24V 5W Sin Culote</t>
  </si>
  <si>
    <t>Se Coloco Flotante De Gasoil</t>
  </si>
  <si>
    <t>2) Desconexión de material (Falta 'FLOTANTE GAS OIL', 'GASOIL')</t>
  </si>
  <si>
    <t>Materiales cargados no coinciden: MEDIDOR DE NIVEL DE COMBUSTIBLE (A 696 542 03 17) ORIGINAL, MICA BAIML 1035 COLOR AMBAR (LED), BUJE PALANCA DE CAMBIO ATEGO (A 970 268 40 50) - MIC, LAMPARA 24V 5W (S/CULOTE) - NEOLUX</t>
  </si>
  <si>
    <t>Materiales cargados no coinciden: FILTRO DE ACEITE 6 CILINDROS MB 1318/1218/1215/914/712/1418/915/815 - MANN HU931/5X, ACEITE 15W40 XV300 X 205LT (TAMBOR)</t>
  </si>
  <si>
    <t>Materiales cargados no coinciden: FILTRO TRAMPA DE AGUA MB AXOR 1933 - MANN WK 1060/4, FILTRO DE COMBUSTIBLE MANN PU1046/1X</t>
  </si>
  <si>
    <t>Materiales planificados con Salida Cero: ESTRIBO CABINA DER IVECO TECTOR (5801388966) ORIGINAL, PEDANA DER IVECO TECTOR (504329078) ORIGINAL, LAMPARA 24V 5W (S/CULOTE) - NEOLUX, ARANDELAS PLANAS DE 8MM, BULON 3/8x1, TUERCA 5/16, BULON 5/16 x 3 1/2, AZUL 32 UREA x 1000LTS, BALDE GRASA LUBRIGON X 20 KG</t>
  </si>
  <si>
    <t>Sin tarea asociada</t>
  </si>
  <si>
    <t>Sin tarea</t>
  </si>
  <si>
    <t>4) Repuesto sin tarea asociada</t>
  </si>
  <si>
    <t>Se retiró el material "LAMPARA 24V 5W (C/CULOTE) - NEOLUX" (3 unidades) pero no existe ninguna tarea de recambio en la orden que requiera esta categoría (LAMPARA, CAMPANA).</t>
  </si>
  <si>
    <t>Insumo</t>
  </si>
  <si>
    <t>INSUMOS BA</t>
  </si>
  <si>
    <t>INSUMOS BUENOS AIRES</t>
  </si>
  <si>
    <t>Se retiró el material "KIT DE EMBRAGUE MB 1418/1720/1624 (395MM) ORIGINAL (ART. REPARADO)" (1 unidades) pero no existe ninguna tarea de recambio en la orden que requiera esta categoría (EMBRAGUE, SEPARADOR).</t>
  </si>
  <si>
    <t>38391</t>
  </si>
  <si>
    <t>Se retiró el material "FARO TRASERO DER MB 2541 (A 003 544 63 03) - BECKMAN" (1 unidades) pero no existe ninguna tarea de recambio en la orden que requiera esta categoría (LAMPARA, GRASA, OPTICA).</t>
  </si>
  <si>
    <t>Se retiró el material "LAMPARA 24V 21W - NEOLUX" (3 unidades) pero no existe ninguna tarea de recambio en la orden que requiera esta categoría (LAMPARA, CAMPANA).</t>
  </si>
  <si>
    <t>38397</t>
  </si>
  <si>
    <t>Se retiró el material "ACOPLE RAPIDO RECTO DE 4MM" (2 unidades) pero no existe ninguna tarea de recambio en la orden que requiera esta categoría (MANGUERA).</t>
  </si>
  <si>
    <t>Se retiró el material "ACOPLE RÁPIDO RECTO DE 6MM (UNIVERSAL)" (2 unidades) pero no existe ninguna tarea de recambio en la orden que requiera esta categoría (MANGUERA).</t>
  </si>
  <si>
    <t>Se retiró el material "ACOPLE RAPIDO RECTO DE 8MM" (2 unidades) pero no existe ninguna tarea de recambio en la orden que requiera esta categoría (MANGUERA).</t>
  </si>
  <si>
    <t>Se retiró el material "ACOPLE RAPIDO RECTO DE 10MM" (2 unidades) pero no existe ninguna tarea de recambio en la orden que requiera esta categoría (MANGUERA).</t>
  </si>
  <si>
    <t>Se retiró el material "ACOPLE RÁPIDO RECTO DE 12MM (UNIVERSAL)" (2 unidades) pero no existe ninguna tarea de recambio en la orden que requiera esta categoría (MANGUERA).</t>
  </si>
  <si>
    <t>Se retiró el material "FUSIBLE 15 AMP - GENROD" (4 unidades) pero no existe ninguna tarea de recambio en la orden que requiera esta categoría (FUSIBLE).</t>
  </si>
  <si>
    <t>Se retiró el material "FUSIBLE 10 AMP" (4 unidades) pero no existe ninguna tarea de recambio en la orden que requiera esta categoría (FUSIBLE).</t>
  </si>
  <si>
    <t>38401</t>
  </si>
  <si>
    <t>JCF735</t>
  </si>
  <si>
    <t>Se retiró el material "CUBIERTA LINEAL 275 R22.5 - FATE" (1 unidades) pero no existe ninguna tarea de recambio en la orden que requiera esta categoría (NEUMATICO, LONA, CHAPA).</t>
  </si>
  <si>
    <t>Se retiró el material "CUBIERTA TACO 275 R22.5 - FATE" (2 unidades) pero no existe ninguna tarea de recambio en la orden que requiera esta categoría (NEUMATICO, TACO, LONA, CHAPA).</t>
  </si>
  <si>
    <t>38416</t>
  </si>
  <si>
    <t>Se retiró el material "TOPE DE CABINA S4 SCANIA G310 (1349805) ORIGINAL" (2 unidades) pero no existe ninguna tarea de recambio en la orden que requiera esta categoría (TOP, CARROCERIA).</t>
  </si>
  <si>
    <t>38418</t>
  </si>
  <si>
    <t>AF118QC</t>
  </si>
  <si>
    <t>Se retiró el material "CAÑO POLIAMIDA TECALAN DE 6MM X MTS" (0.5 unidades) pero no existe ninguna tarea de recambio en la orden que requiera esta categoría (MANGUERA, TECLA, LLAVE).</t>
  </si>
  <si>
    <t>38425</t>
  </si>
  <si>
    <t>INSUMOS SRF</t>
  </si>
  <si>
    <t>INSUMOS SAN RAFAEL</t>
  </si>
  <si>
    <t>Se retiró el material "CHAPAS LISA NEGRA 1/8 1.24 X 2.44" (3 unidades) pero no existe ninguna tarea de recambio en la orden que requiera esta categoría (PATENTE, CHAPA).</t>
  </si>
  <si>
    <t>38473</t>
  </si>
  <si>
    <t>OJG103</t>
  </si>
  <si>
    <t>Se retiró el material "KIT DE REPARACION HORQUILLA DE EMBRAGUE SCANIA G310 (2258072 )- COSIBO" (1 unidades) pero no existe ninguna tarea de recambio en la orden que requiera esta categoría (EMBRAGUE).</t>
  </si>
  <si>
    <t>38517</t>
  </si>
  <si>
    <t>Se retiró el material "CEPILLO LAVA CAMION (30CM) CON ROSCA UNIVERSAL" (3 unidades) pero no existe ninguna tarea de recambio en la orden que requiera esta categoría (TORNILO).</t>
  </si>
  <si>
    <t>38525</t>
  </si>
  <si>
    <t>38528</t>
  </si>
  <si>
    <t>Se retiró el material "ALARGUES DE PLASTICO X 150mm" (1 unidades) pero no existe ninguna tarea de recambio en la orden que requiera esta categoría (ELASTICO).</t>
  </si>
  <si>
    <t>38555</t>
  </si>
  <si>
    <t>Se retiró el material "ACOPLE RAPIDO RECTO DE 8MM" (1 unidades) pero no existe ninguna tarea de recambio en la orden que requiera esta categoría (MANGUERA).</t>
  </si>
  <si>
    <t>38556</t>
  </si>
  <si>
    <t>Se retiró el material "LLAVE 1 PUNTO T/M. BENZ" (1 unidades) pero no existe ninguna tarea de recambio en la orden que requiera esta categoría (LLAVE).</t>
  </si>
  <si>
    <t>Se retiró el material "LAMPARA 24V 5W (C/CULOTE) - NEOLUX" (4 unidades) pero no existe ninguna tarea de recambio en la orden que requiera esta categoría (LAMPARA, CAMPANA).</t>
  </si>
  <si>
    <t>38557</t>
  </si>
  <si>
    <t>IDX164</t>
  </si>
  <si>
    <t>Se retiró el material "RELAY DE LUCES INDICADORAS MB AXOR 1933 (A 003 544 61 32) ORIGINAL" (1 unidades) pero no existe ninguna tarea de recambio en la orden que requiera esta categoría (INDICADOR, RELAY, MEDIDOR, INSTALACION ELECTRICA).</t>
  </si>
  <si>
    <t>38559</t>
  </si>
  <si>
    <t>Se retiró el material "REMACHE POP ALUMINIO DE 5MM DIAMETRO X 20MM LARGO" (2 unidades) pero no existe ninguna tarea de recambio en la orden que requiera esta categoría (TORNILO).</t>
  </si>
  <si>
    <t>38597</t>
  </si>
  <si>
    <t>Se retiró el material "MICA BAIML 1035 COLOR CRISTAL (LED)" (2 unidades) pero no existe ninguna tarea de recambio en la orden que requiera esta categoría (LAMPARA, MICA).</t>
  </si>
  <si>
    <t>Se retiró el material "FARO COLGANTE SIMPLE 1035/6" (4 unidades) pero no existe ninguna tarea de recambio en la orden que requiera esta categoría (LAMPARA, OPTICA, VOLANTE).</t>
  </si>
  <si>
    <t>Se retiró el material "LAMPARA 24V PY21W" (6 unidades) pero no existe ninguna tarea de recambio en la orden que requiera esta categoría (LAMPARA, CAMPANA).</t>
  </si>
  <si>
    <t>38608</t>
  </si>
  <si>
    <t>Se retiró el material "ACOPLE RAPIDO RECTO DE 10MM" (1 unidades) pero no existe ninguna tarea de recambio en la orden que requiera esta categoría (MANGUERA).</t>
  </si>
  <si>
    <t>Descarga</t>
  </si>
  <si>
    <t>Estados Control</t>
  </si>
  <si>
    <t>Estados OK</t>
  </si>
  <si>
    <t>Falta Material</t>
  </si>
  <si>
    <t>Falta Tarea Cambiar</t>
  </si>
  <si>
    <t>Ok Contabilizar Si Corresponde</t>
  </si>
  <si>
    <t>Ok</t>
  </si>
  <si>
    <t>Falta Tarea de Cambio</t>
  </si>
  <si>
    <t>Falta Consumo</t>
  </si>
  <si>
    <t xml:space="preserve">Falta Tarea </t>
  </si>
  <si>
    <t>Falta Tarea</t>
  </si>
  <si>
    <t>OK</t>
  </si>
  <si>
    <t>Repuestas.</t>
  </si>
  <si>
    <t>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</si>
</sst>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rgb="FFFFFFFF"/>
      <name val="Arial"/>
    </font>
    <font>
      <b/>
      <sz val="11"/>
      <color rgb="FFFFFFFF"/>
      <name val="Arial"/>
      <family val="2"/>
    </font>
  </fonts>
  <fills count="9">
    <fill>
      <patternFill patternType="none"/>
    </fill>
    <fill>
      <patternFill patternType="gray125"/>
    </fill>
    <fill>
      <patternFill patternType="solid">
        <fgColor rgb="FF1F497D"/>
      </patternFill>
    </fill>
    <fill>
      <patternFill patternType="solid">
        <fgColor rgb="FFF9FAFB"/>
      </patternFill>
    </fill>
    <fill>
      <patternFill patternType="solid">
        <fgColor rgb="FFFCE4D6"/>
      </patternFill>
    </fill>
    <fill>
      <patternFill patternType="solid">
        <fgColor rgb="FFFFF2CC"/>
      </patternFill>
    </fill>
    <fill>
      <patternFill patternType="solid">
        <fgColor rgb="FFE2EFDA"/>
      </patternFill>
    </fill>
    <fill>
      <patternFill patternType="solid">
        <fgColor theme="4" tint="0.39997558519241921"/>
        <bgColor indexed="64"/>
      </patternFill>
    </fill>
    <fill>
      <patternFill patternType="solid">
        <fgColor rgb="FFFFC000"/>
        <bgColor indexed="64"/>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left" vertical="center"/>
    </xf>
    <xf numFmtId="0" fontId="0" fillId="4" borderId="1" xfId="0" applyFill="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5" borderId="1" xfId="0" applyFill="1" applyBorder="1" applyAlignment="1">
      <alignment horizontal="left" vertical="center"/>
    </xf>
    <xf numFmtId="0" fontId="0" fillId="6" borderId="1" xfId="0" applyFill="1" applyBorder="1" applyAlignment="1">
      <alignment horizontal="left" vertical="center"/>
    </xf>
    <xf numFmtId="0" fontId="0" fillId="0" borderId="0" xfId="0" applyBorder="1" applyAlignment="1">
      <alignment horizontal="center" vertical="center"/>
    </xf>
    <xf numFmtId="0" fontId="0" fillId="3" borderId="0" xfId="0" applyFill="1" applyBorder="1" applyAlignment="1">
      <alignment horizontal="center" vertical="center"/>
    </xf>
    <xf numFmtId="14" fontId="0" fillId="3" borderId="1" xfId="0" applyNumberFormat="1" applyFill="1" applyBorder="1" applyAlignment="1">
      <alignment horizontal="center" vertical="center"/>
    </xf>
    <xf numFmtId="14" fontId="0" fillId="0" borderId="0" xfId="0" applyNumberFormat="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0" fillId="7" borderId="1" xfId="0" applyFill="1" applyBorder="1" applyAlignment="1">
      <alignment horizontal="center" vertical="center"/>
    </xf>
    <xf numFmtId="0" fontId="0" fillId="7" borderId="1" xfId="0" applyFill="1" applyBorder="1" applyAlignment="1">
      <alignment horizontal="left" vertical="center"/>
    </xf>
    <xf numFmtId="14" fontId="0" fillId="7" borderId="1" xfId="0" applyNumberFormat="1" applyFill="1" applyBorder="1" applyAlignment="1">
      <alignment horizontal="center" vertical="center"/>
    </xf>
    <xf numFmtId="0" fontId="0" fillId="7" borderId="1" xfId="0" applyFill="1" applyBorder="1"/>
    <xf numFmtId="0" fontId="1" fillId="2" borderId="1" xfId="0" applyFont="1" applyFill="1" applyBorder="1" applyAlignment="1">
      <alignment horizontal="center" vertical="center" wrapText="1"/>
    </xf>
    <xf numFmtId="0" fontId="0" fillId="3" borderId="1" xfId="0" applyFill="1"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wrapText="1"/>
    </xf>
    <xf numFmtId="14" fontId="0" fillId="7" borderId="0" xfId="0" applyNumberFormat="1" applyFill="1"/>
    <xf numFmtId="0" fontId="0" fillId="8" borderId="1" xfId="0" applyFill="1" applyBorder="1" applyAlignment="1">
      <alignment horizontal="left" vertical="center"/>
    </xf>
    <xf numFmtId="0" fontId="0" fillId="7" borderId="0"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Mi%20unidad\Peajes%20FC\Control%20Dia%20a%20Dia%20Reporte%20Auditoria%20Materiales\Repuestas\CIUD%2007-0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s>
    <sheetDataSet>
      <sheetData sheetId="0">
        <row r="2">
          <cell r="A2">
            <v>38544</v>
          </cell>
          <cell r="B2" t="str">
            <v>Correctivo</v>
          </cell>
          <cell r="C2" t="str">
            <v>CIUD</v>
          </cell>
          <cell r="D2" t="str">
            <v>Contabilizada</v>
          </cell>
        </row>
        <row r="3">
          <cell r="A3">
            <v>38544</v>
          </cell>
          <cell r="B3" t="str">
            <v>Correctivo</v>
          </cell>
          <cell r="C3" t="str">
            <v>CIUD</v>
          </cell>
          <cell r="D3" t="str">
            <v>Contabilizada</v>
          </cell>
        </row>
        <row r="4">
          <cell r="A4">
            <v>38387</v>
          </cell>
          <cell r="B4" t="str">
            <v>Preventivo</v>
          </cell>
          <cell r="C4" t="str">
            <v>CIUD</v>
          </cell>
          <cell r="D4" t="str">
            <v>Contabilizada</v>
          </cell>
        </row>
        <row r="5">
          <cell r="A5">
            <v>38388</v>
          </cell>
          <cell r="B5" t="str">
            <v>Preventivo</v>
          </cell>
          <cell r="C5" t="str">
            <v>CIUD</v>
          </cell>
          <cell r="D5" t="str">
            <v>Contabilizada</v>
          </cell>
        </row>
        <row r="6">
          <cell r="A6">
            <v>38508</v>
          </cell>
          <cell r="B6" t="str">
            <v>Correctivo</v>
          </cell>
          <cell r="C6" t="str">
            <v>CIUD</v>
          </cell>
          <cell r="D6" t="str">
            <v>Contabilizada</v>
          </cell>
        </row>
        <row r="7">
          <cell r="A7">
            <v>38510</v>
          </cell>
          <cell r="B7" t="str">
            <v>Correctivo</v>
          </cell>
          <cell r="C7" t="str">
            <v>CIUD</v>
          </cell>
          <cell r="D7" t="str">
            <v>Contabilizada</v>
          </cell>
        </row>
        <row r="8">
          <cell r="A8">
            <v>38514</v>
          </cell>
          <cell r="B8" t="str">
            <v>Correctivo</v>
          </cell>
          <cell r="C8" t="str">
            <v>CIUD</v>
          </cell>
          <cell r="D8" t="str">
            <v>Contabilizada</v>
          </cell>
        </row>
        <row r="9">
          <cell r="A9">
            <v>38550</v>
          </cell>
          <cell r="B9" t="str">
            <v>Correctivo</v>
          </cell>
          <cell r="C9" t="str">
            <v>CIUD</v>
          </cell>
          <cell r="D9" t="str">
            <v>Contabilizada</v>
          </cell>
        </row>
        <row r="10">
          <cell r="A10">
            <v>38550</v>
          </cell>
          <cell r="B10" t="str">
            <v>Correctivo</v>
          </cell>
          <cell r="C10" t="str">
            <v>CIUD</v>
          </cell>
          <cell r="D10" t="str">
            <v>Contabilizada</v>
          </cell>
        </row>
        <row r="11">
          <cell r="A11">
            <v>38544</v>
          </cell>
          <cell r="B11" t="str">
            <v>Correctivo</v>
          </cell>
          <cell r="C11" t="str">
            <v>CIUD</v>
          </cell>
          <cell r="D11" t="str">
            <v>Contabilizada</v>
          </cell>
        </row>
        <row r="12">
          <cell r="A12">
            <v>38582</v>
          </cell>
          <cell r="B12" t="str">
            <v>Correctivo</v>
          </cell>
          <cell r="C12" t="str">
            <v>CIUD</v>
          </cell>
          <cell r="D12" t="str">
            <v>Falta Consumo</v>
          </cell>
        </row>
        <row r="13">
          <cell r="A13">
            <v>38567</v>
          </cell>
          <cell r="B13" t="str">
            <v>Correctivo</v>
          </cell>
          <cell r="C13" t="str">
            <v>CIUD</v>
          </cell>
          <cell r="D13" t="str">
            <v>Falta Consumo</v>
          </cell>
        </row>
        <row r="14">
          <cell r="A14">
            <v>38572</v>
          </cell>
          <cell r="B14" t="str">
            <v>Preventivo</v>
          </cell>
          <cell r="C14" t="str">
            <v>CIUD</v>
          </cell>
          <cell r="D14" t="str">
            <v>Falta Consumo</v>
          </cell>
        </row>
        <row r="15">
          <cell r="A15">
            <v>38564</v>
          </cell>
          <cell r="B15" t="str">
            <v>Correctivo</v>
          </cell>
          <cell r="C15" t="str">
            <v>CIUD</v>
          </cell>
          <cell r="D15" t="str">
            <v>Falta Consumo</v>
          </cell>
        </row>
        <row r="16">
          <cell r="A16">
            <v>38570</v>
          </cell>
          <cell r="B16" t="str">
            <v>Correctivo</v>
          </cell>
          <cell r="C16" t="str">
            <v>CIUD</v>
          </cell>
          <cell r="D16" t="str">
            <v>Falta Consumo</v>
          </cell>
        </row>
        <row r="17">
          <cell r="A17">
            <v>38574</v>
          </cell>
          <cell r="B17" t="str">
            <v>Preventivo</v>
          </cell>
          <cell r="C17" t="str">
            <v>CIUD</v>
          </cell>
          <cell r="D17" t="str">
            <v>Falta Consumo</v>
          </cell>
        </row>
        <row r="18">
          <cell r="A18">
            <v>38585</v>
          </cell>
          <cell r="B18" t="str">
            <v>Preventivo</v>
          </cell>
          <cell r="C18" t="str">
            <v>CIUD</v>
          </cell>
          <cell r="D18" t="str">
            <v>Falta Consumo</v>
          </cell>
        </row>
        <row r="19">
          <cell r="A19">
            <v>38570</v>
          </cell>
          <cell r="B19" t="str">
            <v>Correctivo</v>
          </cell>
          <cell r="C19" t="str">
            <v>CIUD</v>
          </cell>
          <cell r="D19" t="str">
            <v>Falta Consumo</v>
          </cell>
        </row>
        <row r="20">
          <cell r="A20">
            <v>38584</v>
          </cell>
          <cell r="B20" t="str">
            <v>Correctivo</v>
          </cell>
          <cell r="C20" t="str">
            <v>CIUD</v>
          </cell>
          <cell r="D20" t="str">
            <v>Falta Consumo</v>
          </cell>
        </row>
        <row r="21">
          <cell r="A21">
            <v>38570</v>
          </cell>
          <cell r="B21" t="str">
            <v>Correctivo</v>
          </cell>
          <cell r="C21" t="str">
            <v>CIUD</v>
          </cell>
          <cell r="D21" t="str">
            <v>Falta Consumo</v>
          </cell>
        </row>
        <row r="22">
          <cell r="A22">
            <v>38587</v>
          </cell>
          <cell r="B22" t="str">
            <v>Preventivo</v>
          </cell>
          <cell r="C22" t="str">
            <v>CIUD</v>
          </cell>
          <cell r="D22" t="str">
            <v>Falta Consumo</v>
          </cell>
        </row>
        <row r="23">
          <cell r="A23">
            <v>38592</v>
          </cell>
          <cell r="B23" t="str">
            <v>Preventivo</v>
          </cell>
          <cell r="C23" t="str">
            <v>CIUD</v>
          </cell>
          <cell r="D23" t="str">
            <v>Falta Consumo</v>
          </cell>
        </row>
        <row r="24">
          <cell r="A24">
            <v>38564</v>
          </cell>
          <cell r="B24" t="str">
            <v>Correctivo</v>
          </cell>
          <cell r="C24" t="str">
            <v>CIUD</v>
          </cell>
          <cell r="D24" t="str">
            <v>Falta Consumo</v>
          </cell>
        </row>
        <row r="25">
          <cell r="A25">
            <v>38567</v>
          </cell>
          <cell r="B25" t="str">
            <v>Correctivo</v>
          </cell>
          <cell r="C25" t="str">
            <v>CIUD</v>
          </cell>
          <cell r="D25" t="str">
            <v>Falta Consumo</v>
          </cell>
        </row>
        <row r="26">
          <cell r="A26">
            <v>38573</v>
          </cell>
          <cell r="B26" t="str">
            <v>Preventivo</v>
          </cell>
          <cell r="C26" t="str">
            <v>CIUD</v>
          </cell>
          <cell r="D26" t="str">
            <v>Falta Consumo</v>
          </cell>
        </row>
        <row r="27">
          <cell r="A27">
            <v>38562</v>
          </cell>
          <cell r="B27" t="str">
            <v>Correctivo</v>
          </cell>
          <cell r="C27" t="str">
            <v>CIUD</v>
          </cell>
          <cell r="D27" t="str">
            <v>Falta Consumo</v>
          </cell>
        </row>
        <row r="28">
          <cell r="A28">
            <v>38570</v>
          </cell>
          <cell r="B28" t="str">
            <v>Correctivo</v>
          </cell>
          <cell r="C28" t="str">
            <v>CIUD</v>
          </cell>
          <cell r="D28" t="str">
            <v>Falta Consumo</v>
          </cell>
        </row>
        <row r="29">
          <cell r="A29">
            <v>38570</v>
          </cell>
          <cell r="B29" t="str">
            <v>Correctivo</v>
          </cell>
          <cell r="C29" t="str">
            <v>CIUD</v>
          </cell>
          <cell r="D29" t="str">
            <v>Falta Consumo</v>
          </cell>
        </row>
        <row r="30">
          <cell r="A30">
            <v>38586</v>
          </cell>
          <cell r="B30" t="str">
            <v>Preventivo</v>
          </cell>
          <cell r="C30" t="str">
            <v>CIUD</v>
          </cell>
          <cell r="D30" t="str">
            <v>Falta Consumo</v>
          </cell>
        </row>
        <row r="31">
          <cell r="A31">
            <v>38567</v>
          </cell>
          <cell r="B31" t="str">
            <v>Correctivo</v>
          </cell>
          <cell r="C31" t="str">
            <v>CIUD</v>
          </cell>
          <cell r="D31" t="str">
            <v>Falta Consumo</v>
          </cell>
        </row>
        <row r="32">
          <cell r="A32">
            <v>38570</v>
          </cell>
          <cell r="B32" t="str">
            <v>Correctivo</v>
          </cell>
          <cell r="C32" t="str">
            <v>CIUD</v>
          </cell>
          <cell r="D32" t="str">
            <v>Falta Consumo</v>
          </cell>
        </row>
        <row r="33">
          <cell r="A33">
            <v>38591</v>
          </cell>
          <cell r="B33" t="str">
            <v>Preventivo</v>
          </cell>
          <cell r="C33" t="str">
            <v>CIUD</v>
          </cell>
          <cell r="D33" t="str">
            <v>Falta Consumo</v>
          </cell>
        </row>
        <row r="34">
          <cell r="A34">
            <v>38564</v>
          </cell>
          <cell r="B34" t="str">
            <v>Correctivo</v>
          </cell>
          <cell r="C34" t="str">
            <v>CIUD</v>
          </cell>
          <cell r="D34" t="str">
            <v>Falta Consumo</v>
          </cell>
        </row>
        <row r="35">
          <cell r="A35">
            <v>38582</v>
          </cell>
          <cell r="B35" t="str">
            <v>Correctivo</v>
          </cell>
          <cell r="C35" t="str">
            <v>CIUD</v>
          </cell>
          <cell r="D35" t="str">
            <v>Falta Consumo</v>
          </cell>
        </row>
        <row r="36">
          <cell r="A36">
            <v>38590</v>
          </cell>
          <cell r="B36" t="str">
            <v>Preventivo</v>
          </cell>
          <cell r="C36" t="str">
            <v>CIUD</v>
          </cell>
          <cell r="D36" t="str">
            <v>Falta Consumo</v>
          </cell>
        </row>
        <row r="37">
          <cell r="A37">
            <v>38559</v>
          </cell>
          <cell r="B37" t="str">
            <v>Correctivo</v>
          </cell>
          <cell r="C37" t="str">
            <v>CIUD</v>
          </cell>
          <cell r="D37" t="str">
            <v>Falta Consumo</v>
          </cell>
        </row>
        <row r="38">
          <cell r="A38">
            <v>38515</v>
          </cell>
          <cell r="B38" t="str">
            <v>Correctivo</v>
          </cell>
          <cell r="C38" t="str">
            <v>CIUD</v>
          </cell>
          <cell r="D38" t="str">
            <v>Falta Consumo</v>
          </cell>
        </row>
        <row r="39">
          <cell r="A39">
            <v>38508</v>
          </cell>
          <cell r="B39" t="str">
            <v>Correctivo</v>
          </cell>
          <cell r="C39" t="str">
            <v>CIUD</v>
          </cell>
          <cell r="D39" t="str">
            <v>Falta Consumo</v>
          </cell>
        </row>
        <row r="40">
          <cell r="A40">
            <v>38510</v>
          </cell>
          <cell r="B40" t="str">
            <v>Correctivo</v>
          </cell>
          <cell r="C40" t="str">
            <v>CIUD</v>
          </cell>
          <cell r="D40" t="str">
            <v>Falta Consumo</v>
          </cell>
        </row>
        <row r="41">
          <cell r="A41">
            <v>38559</v>
          </cell>
          <cell r="B41" t="str">
            <v>Correctivo</v>
          </cell>
          <cell r="C41" t="str">
            <v>CIUD</v>
          </cell>
          <cell r="D41" t="str">
            <v>Falta Consumo</v>
          </cell>
        </row>
        <row r="42">
          <cell r="A42">
            <v>38528</v>
          </cell>
          <cell r="B42" t="str">
            <v>Correctivo</v>
          </cell>
          <cell r="C42" t="str">
            <v>CIUD</v>
          </cell>
          <cell r="D42" t="str">
            <v>Falta Notificar</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0"/>
  <sheetViews>
    <sheetView tabSelected="1" topLeftCell="M1" workbookViewId="0">
      <selection activeCell="P1" sqref="P1"/>
    </sheetView>
  </sheetViews>
  <sheetFormatPr baseColWidth="10" defaultColWidth="8.88671875" defaultRowHeight="14.4" x14ac:dyDescent="0.3"/>
  <cols>
    <col min="1" max="1" width="13" customWidth="1"/>
    <col min="2" max="2" width="16" customWidth="1"/>
    <col min="3" max="3" width="20" customWidth="1"/>
    <col min="4" max="4" width="15" customWidth="1"/>
    <col min="5" max="5" width="16" customWidth="1"/>
    <col min="6" max="6" width="20" customWidth="1"/>
    <col min="7" max="7" width="22" customWidth="1"/>
    <col min="8" max="8" width="20" customWidth="1"/>
    <col min="9" max="9" width="43" customWidth="1"/>
    <col min="10" max="10" width="68" customWidth="1"/>
    <col min="11" max="12" width="22.77734375" customWidth="1"/>
    <col min="13" max="13" width="15" customWidth="1"/>
    <col min="14" max="14" width="80" customWidth="1"/>
    <col min="15" max="15" width="80" style="22" customWidth="1"/>
    <col min="16" max="16" width="14.5546875" bestFit="1" customWidth="1"/>
    <col min="17" max="17" width="21" bestFit="1" customWidth="1"/>
    <col min="18" max="18" width="16.77734375" bestFit="1" customWidth="1"/>
  </cols>
  <sheetData>
    <row r="1" spans="1:18" x14ac:dyDescent="0.3">
      <c r="A1" s="1" t="s">
        <v>0</v>
      </c>
      <c r="B1" s="1" t="s">
        <v>1</v>
      </c>
      <c r="C1" s="1" t="s">
        <v>2</v>
      </c>
      <c r="D1" s="1" t="s">
        <v>3</v>
      </c>
      <c r="E1" s="1" t="s">
        <v>4</v>
      </c>
      <c r="F1" s="1" t="s">
        <v>5</v>
      </c>
      <c r="G1" s="1" t="s">
        <v>6</v>
      </c>
      <c r="H1" s="1" t="s">
        <v>7</v>
      </c>
      <c r="I1" s="1" t="s">
        <v>8</v>
      </c>
      <c r="J1" s="1" t="s">
        <v>9</v>
      </c>
      <c r="K1" s="1" t="s">
        <v>311</v>
      </c>
      <c r="L1" s="1" t="s">
        <v>310</v>
      </c>
      <c r="M1" s="1" t="s">
        <v>10</v>
      </c>
      <c r="N1" s="1" t="s">
        <v>11</v>
      </c>
      <c r="O1" s="19" t="s">
        <v>12</v>
      </c>
      <c r="P1" s="13" t="s">
        <v>298</v>
      </c>
      <c r="Q1" s="13" t="s">
        <v>299</v>
      </c>
      <c r="R1" s="14" t="s">
        <v>300</v>
      </c>
    </row>
    <row r="2" spans="1:18" x14ac:dyDescent="0.3">
      <c r="A2" s="2">
        <v>38386</v>
      </c>
      <c r="B2" s="2" t="s">
        <v>13</v>
      </c>
      <c r="C2" s="3" t="s">
        <v>14</v>
      </c>
      <c r="D2" s="2" t="s">
        <v>22</v>
      </c>
      <c r="E2" s="2" t="s">
        <v>15</v>
      </c>
      <c r="F2" s="11">
        <v>46236</v>
      </c>
      <c r="G2" s="2" t="s">
        <v>16</v>
      </c>
      <c r="H2" s="3" t="s">
        <v>157</v>
      </c>
      <c r="I2" s="3" t="s">
        <v>63</v>
      </c>
      <c r="J2" s="4" t="s">
        <v>158</v>
      </c>
      <c r="K2" s="4" t="s">
        <v>301</v>
      </c>
      <c r="L2" s="4" t="str">
        <f>IFERROR(VLOOKUP(A2,[1]Hoja1!$A$2:$D$42,4,FALSE), "Sin Resp.")</f>
        <v>Sin Resp.</v>
      </c>
      <c r="M2" s="2" t="s">
        <v>20</v>
      </c>
      <c r="N2" s="3" t="s">
        <v>159</v>
      </c>
      <c r="O2" s="3" t="s">
        <v>160</v>
      </c>
      <c r="P2" s="12">
        <v>46244</v>
      </c>
      <c r="Q2" s="12">
        <v>46241</v>
      </c>
    </row>
    <row r="3" spans="1:18" x14ac:dyDescent="0.3">
      <c r="A3" s="5">
        <v>38386</v>
      </c>
      <c r="B3" s="5" t="s">
        <v>13</v>
      </c>
      <c r="C3" s="6" t="s">
        <v>14</v>
      </c>
      <c r="D3" s="5" t="s">
        <v>22</v>
      </c>
      <c r="E3" s="5" t="s">
        <v>15</v>
      </c>
      <c r="F3" s="11">
        <v>46236</v>
      </c>
      <c r="G3" s="5" t="s">
        <v>16</v>
      </c>
      <c r="H3" s="6" t="s">
        <v>157</v>
      </c>
      <c r="I3" s="6" t="s">
        <v>63</v>
      </c>
      <c r="J3" s="4" t="s">
        <v>161</v>
      </c>
      <c r="K3" s="4" t="s">
        <v>301</v>
      </c>
      <c r="L3" s="4" t="str">
        <f>IFERROR(VLOOKUP(A3,[1]Hoja1!$A$2:$D$42,4,FALSE), "Sin Resp.")</f>
        <v>Sin Resp.</v>
      </c>
      <c r="M3" s="5" t="s">
        <v>20</v>
      </c>
      <c r="N3" s="6" t="s">
        <v>162</v>
      </c>
      <c r="O3" s="6" t="s">
        <v>160</v>
      </c>
      <c r="P3" s="12">
        <v>46244</v>
      </c>
      <c r="Q3" s="12">
        <v>46241</v>
      </c>
    </row>
    <row r="4" spans="1:18" x14ac:dyDescent="0.3">
      <c r="A4" s="2">
        <v>38386</v>
      </c>
      <c r="B4" s="2" t="s">
        <v>13</v>
      </c>
      <c r="C4" s="3" t="s">
        <v>14</v>
      </c>
      <c r="D4" s="2" t="s">
        <v>22</v>
      </c>
      <c r="E4" s="2" t="s">
        <v>15</v>
      </c>
      <c r="F4" s="11">
        <v>46236</v>
      </c>
      <c r="G4" s="2" t="s">
        <v>16</v>
      </c>
      <c r="H4" s="3" t="s">
        <v>157</v>
      </c>
      <c r="I4" s="3" t="s">
        <v>63</v>
      </c>
      <c r="J4" s="4" t="s">
        <v>82</v>
      </c>
      <c r="K4" s="4" t="s">
        <v>301</v>
      </c>
      <c r="L4" s="4" t="str">
        <f>IFERROR(VLOOKUP(A4,[1]Hoja1!$A$2:$D$42,4,FALSE), "Sin Resp.")</f>
        <v>Sin Resp.</v>
      </c>
      <c r="M4" s="2" t="s">
        <v>20</v>
      </c>
      <c r="N4" s="3" t="s">
        <v>163</v>
      </c>
      <c r="O4" s="3" t="s">
        <v>160</v>
      </c>
      <c r="P4" s="12">
        <v>46244</v>
      </c>
      <c r="Q4" s="12">
        <v>46241</v>
      </c>
    </row>
    <row r="5" spans="1:18" x14ac:dyDescent="0.3">
      <c r="A5" s="5">
        <v>38386</v>
      </c>
      <c r="B5" s="5" t="s">
        <v>13</v>
      </c>
      <c r="C5" s="6" t="s">
        <v>14</v>
      </c>
      <c r="D5" s="5" t="s">
        <v>22</v>
      </c>
      <c r="E5" s="5" t="s">
        <v>15</v>
      </c>
      <c r="F5" s="11">
        <v>46236</v>
      </c>
      <c r="G5" s="5" t="s">
        <v>16</v>
      </c>
      <c r="H5" s="6" t="s">
        <v>157</v>
      </c>
      <c r="I5" s="6" t="s">
        <v>63</v>
      </c>
      <c r="J5" s="4" t="s">
        <v>82</v>
      </c>
      <c r="K5" s="4" t="s">
        <v>301</v>
      </c>
      <c r="L5" s="4" t="str">
        <f>IFERROR(VLOOKUP(A5,[1]Hoja1!$A$2:$D$42,4,FALSE), "Sin Resp.")</f>
        <v>Sin Resp.</v>
      </c>
      <c r="M5" s="5" t="s">
        <v>20</v>
      </c>
      <c r="N5" s="6" t="s">
        <v>163</v>
      </c>
      <c r="O5" s="6" t="s">
        <v>160</v>
      </c>
      <c r="P5" s="12">
        <v>46244</v>
      </c>
      <c r="Q5" s="12">
        <v>46241</v>
      </c>
    </row>
    <row r="6" spans="1:18" x14ac:dyDescent="0.3">
      <c r="A6" s="2">
        <v>38391</v>
      </c>
      <c r="B6" s="2" t="s">
        <v>13</v>
      </c>
      <c r="C6" s="3" t="s">
        <v>14</v>
      </c>
      <c r="D6" s="2" t="s">
        <v>22</v>
      </c>
      <c r="E6" s="2" t="s">
        <v>15</v>
      </c>
      <c r="F6" s="11">
        <v>46236</v>
      </c>
      <c r="G6" s="2" t="s">
        <v>16</v>
      </c>
      <c r="H6" s="3" t="s">
        <v>84</v>
      </c>
      <c r="I6" s="3" t="s">
        <v>68</v>
      </c>
      <c r="J6" s="4" t="s">
        <v>164</v>
      </c>
      <c r="K6" s="4" t="s">
        <v>301</v>
      </c>
      <c r="L6" s="4" t="str">
        <f>IFERROR(VLOOKUP(A6,[1]Hoja1!$A$2:$D$42,4,FALSE), "Sin Resp.")</f>
        <v>Sin Resp.</v>
      </c>
      <c r="M6" s="2" t="s">
        <v>20</v>
      </c>
      <c r="N6" s="3" t="s">
        <v>165</v>
      </c>
      <c r="O6" s="3" t="s">
        <v>166</v>
      </c>
      <c r="P6" s="12">
        <v>46244</v>
      </c>
      <c r="Q6" s="12">
        <v>46241</v>
      </c>
    </row>
    <row r="7" spans="1:18" x14ac:dyDescent="0.3">
      <c r="A7" s="5">
        <v>38391</v>
      </c>
      <c r="B7" s="5" t="s">
        <v>13</v>
      </c>
      <c r="C7" s="6" t="s">
        <v>14</v>
      </c>
      <c r="D7" s="5" t="s">
        <v>22</v>
      </c>
      <c r="E7" s="5" t="s">
        <v>15</v>
      </c>
      <c r="F7" s="11">
        <v>46236</v>
      </c>
      <c r="G7" s="5" t="s">
        <v>16</v>
      </c>
      <c r="H7" s="6" t="s">
        <v>84</v>
      </c>
      <c r="I7" s="6" t="s">
        <v>68</v>
      </c>
      <c r="J7" s="4" t="s">
        <v>164</v>
      </c>
      <c r="K7" s="4" t="s">
        <v>301</v>
      </c>
      <c r="L7" s="4" t="str">
        <f>IFERROR(VLOOKUP(A7,[1]Hoja1!$A$2:$D$42,4,FALSE), "Sin Resp.")</f>
        <v>Sin Resp.</v>
      </c>
      <c r="M7" s="5" t="s">
        <v>20</v>
      </c>
      <c r="N7" s="6" t="s">
        <v>165</v>
      </c>
      <c r="O7" s="6" t="s">
        <v>166</v>
      </c>
      <c r="P7" s="12">
        <v>46244</v>
      </c>
      <c r="Q7" s="12">
        <v>46241</v>
      </c>
    </row>
    <row r="8" spans="1:18" x14ac:dyDescent="0.3">
      <c r="A8" s="2">
        <v>38391</v>
      </c>
      <c r="B8" s="2" t="s">
        <v>13</v>
      </c>
      <c r="C8" s="3" t="s">
        <v>14</v>
      </c>
      <c r="D8" s="2" t="s">
        <v>22</v>
      </c>
      <c r="E8" s="2" t="s">
        <v>15</v>
      </c>
      <c r="F8" s="11">
        <v>46236</v>
      </c>
      <c r="G8" s="2" t="s">
        <v>16</v>
      </c>
      <c r="H8" s="3" t="s">
        <v>84</v>
      </c>
      <c r="I8" s="3" t="s">
        <v>68</v>
      </c>
      <c r="J8" s="4" t="s">
        <v>167</v>
      </c>
      <c r="K8" s="4" t="s">
        <v>301</v>
      </c>
      <c r="L8" s="4" t="str">
        <f>IFERROR(VLOOKUP(A8,[1]Hoja1!$A$2:$D$42,4,FALSE), "Sin Resp.")</f>
        <v>Sin Resp.</v>
      </c>
      <c r="M8" s="2" t="s">
        <v>20</v>
      </c>
      <c r="N8" s="3" t="s">
        <v>86</v>
      </c>
      <c r="O8" s="3" t="s">
        <v>166</v>
      </c>
      <c r="P8" s="12">
        <v>46244</v>
      </c>
      <c r="Q8" s="12">
        <v>46241</v>
      </c>
    </row>
    <row r="9" spans="1:18" x14ac:dyDescent="0.3">
      <c r="A9" s="2" t="s">
        <v>250</v>
      </c>
      <c r="B9" s="2" t="s">
        <v>13</v>
      </c>
      <c r="C9" s="3" t="s">
        <v>14</v>
      </c>
      <c r="D9" s="2" t="s">
        <v>22</v>
      </c>
      <c r="E9" s="2" t="s">
        <v>15</v>
      </c>
      <c r="F9" s="11">
        <v>46236</v>
      </c>
      <c r="G9" s="2" t="s">
        <v>16</v>
      </c>
      <c r="H9" s="3" t="s">
        <v>84</v>
      </c>
      <c r="I9" s="3" t="s">
        <v>68</v>
      </c>
      <c r="J9" s="4" t="s">
        <v>242</v>
      </c>
      <c r="K9" s="4" t="s">
        <v>302</v>
      </c>
      <c r="L9" s="4" t="str">
        <f>IFERROR(VLOOKUP(A9,[1]Hoja1!$A$2:$D$42,4,FALSE), "Sin Resp.")</f>
        <v>Sin Resp.</v>
      </c>
      <c r="M9" s="2" t="s">
        <v>243</v>
      </c>
      <c r="N9" s="3" t="s">
        <v>244</v>
      </c>
      <c r="O9" s="3" t="s">
        <v>251</v>
      </c>
      <c r="P9" s="12">
        <v>46244</v>
      </c>
      <c r="Q9" s="12">
        <v>46241</v>
      </c>
    </row>
    <row r="10" spans="1:18" x14ac:dyDescent="0.3">
      <c r="A10" s="5" t="s">
        <v>250</v>
      </c>
      <c r="B10" s="5" t="s">
        <v>13</v>
      </c>
      <c r="C10" s="6" t="s">
        <v>14</v>
      </c>
      <c r="D10" s="5" t="s">
        <v>22</v>
      </c>
      <c r="E10" s="5" t="s">
        <v>15</v>
      </c>
      <c r="F10" s="11">
        <v>46236</v>
      </c>
      <c r="G10" s="5" t="s">
        <v>16</v>
      </c>
      <c r="H10" s="6" t="s">
        <v>84</v>
      </c>
      <c r="I10" s="6" t="s">
        <v>68</v>
      </c>
      <c r="J10" s="4" t="s">
        <v>242</v>
      </c>
      <c r="K10" s="4" t="s">
        <v>302</v>
      </c>
      <c r="L10" s="4" t="str">
        <f>IFERROR(VLOOKUP(A10,[1]Hoja1!$A$2:$D$42,4,FALSE), "Sin Resp.")</f>
        <v>Sin Resp.</v>
      </c>
      <c r="M10" s="5" t="s">
        <v>243</v>
      </c>
      <c r="N10" s="6" t="s">
        <v>244</v>
      </c>
      <c r="O10" s="6" t="s">
        <v>245</v>
      </c>
      <c r="P10" s="12">
        <v>46244</v>
      </c>
      <c r="Q10" s="12">
        <v>46241</v>
      </c>
    </row>
    <row r="11" spans="1:18" x14ac:dyDescent="0.3">
      <c r="A11" s="2" t="s">
        <v>250</v>
      </c>
      <c r="B11" s="2" t="s">
        <v>13</v>
      </c>
      <c r="C11" s="3" t="s">
        <v>14</v>
      </c>
      <c r="D11" s="2" t="s">
        <v>22</v>
      </c>
      <c r="E11" s="2" t="s">
        <v>15</v>
      </c>
      <c r="F11" s="11">
        <v>46236</v>
      </c>
      <c r="G11" s="2" t="s">
        <v>16</v>
      </c>
      <c r="H11" s="3" t="s">
        <v>84</v>
      </c>
      <c r="I11" s="3" t="s">
        <v>68</v>
      </c>
      <c r="J11" s="4" t="s">
        <v>242</v>
      </c>
      <c r="K11" s="4" t="s">
        <v>302</v>
      </c>
      <c r="L11" s="4" t="str">
        <f>IFERROR(VLOOKUP(A11,[1]Hoja1!$A$2:$D$42,4,FALSE), "Sin Resp.")</f>
        <v>Sin Resp.</v>
      </c>
      <c r="M11" s="2" t="s">
        <v>243</v>
      </c>
      <c r="N11" s="3" t="s">
        <v>244</v>
      </c>
      <c r="O11" s="3" t="s">
        <v>252</v>
      </c>
      <c r="P11" s="12">
        <v>46244</v>
      </c>
      <c r="Q11" s="12">
        <v>46241</v>
      </c>
    </row>
    <row r="12" spans="1:18" x14ac:dyDescent="0.3">
      <c r="A12" s="5">
        <v>38393</v>
      </c>
      <c r="B12" s="5" t="s">
        <v>13</v>
      </c>
      <c r="C12" s="6" t="s">
        <v>14</v>
      </c>
      <c r="D12" s="5" t="s">
        <v>22</v>
      </c>
      <c r="E12" s="5" t="s">
        <v>15</v>
      </c>
      <c r="F12" s="11">
        <v>46236</v>
      </c>
      <c r="G12" s="5" t="s">
        <v>16</v>
      </c>
      <c r="H12" s="6" t="s">
        <v>168</v>
      </c>
      <c r="I12" s="6" t="s">
        <v>63</v>
      </c>
      <c r="J12" s="4" t="s">
        <v>169</v>
      </c>
      <c r="K12" s="4" t="s">
        <v>303</v>
      </c>
      <c r="L12" s="4" t="str">
        <f>IFERROR(VLOOKUP(A12,[1]Hoja1!$A$2:$D$42,4,FALSE), "Sin Resp.")</f>
        <v>Sin Resp.</v>
      </c>
      <c r="M12" s="5" t="s">
        <v>20</v>
      </c>
      <c r="N12" s="6" t="s">
        <v>69</v>
      </c>
      <c r="O12" s="6" t="s">
        <v>170</v>
      </c>
      <c r="P12" s="12">
        <v>46244</v>
      </c>
      <c r="Q12" s="12">
        <v>46241</v>
      </c>
    </row>
    <row r="13" spans="1:18" x14ac:dyDescent="0.3">
      <c r="A13" s="2">
        <v>38395</v>
      </c>
      <c r="B13" s="2" t="s">
        <v>13</v>
      </c>
      <c r="C13" s="3" t="s">
        <v>14</v>
      </c>
      <c r="D13" s="2" t="s">
        <v>22</v>
      </c>
      <c r="E13" s="2" t="s">
        <v>15</v>
      </c>
      <c r="F13" s="11">
        <v>46236</v>
      </c>
      <c r="G13" s="2" t="s">
        <v>16</v>
      </c>
      <c r="H13" s="3" t="s">
        <v>89</v>
      </c>
      <c r="I13" s="3" t="s">
        <v>37</v>
      </c>
      <c r="J13" s="4" t="s">
        <v>143</v>
      </c>
      <c r="K13" s="4" t="s">
        <v>303</v>
      </c>
      <c r="L13" s="4" t="str">
        <f>IFERROR(VLOOKUP(A13,[1]Hoja1!$A$2:$D$42,4,FALSE), "Sin Resp.")</f>
        <v>Sin Resp.</v>
      </c>
      <c r="M13" s="2" t="s">
        <v>20</v>
      </c>
      <c r="N13" s="3" t="s">
        <v>111</v>
      </c>
      <c r="O13" s="3" t="s">
        <v>171</v>
      </c>
      <c r="P13" s="12">
        <v>46244</v>
      </c>
      <c r="Q13" s="12">
        <v>46241</v>
      </c>
    </row>
    <row r="14" spans="1:18" x14ac:dyDescent="0.3">
      <c r="A14" s="5">
        <v>38395</v>
      </c>
      <c r="B14" s="5" t="s">
        <v>13</v>
      </c>
      <c r="C14" s="6" t="s">
        <v>14</v>
      </c>
      <c r="D14" s="5" t="s">
        <v>22</v>
      </c>
      <c r="E14" s="5" t="s">
        <v>15</v>
      </c>
      <c r="F14" s="11">
        <v>46236</v>
      </c>
      <c r="G14" s="5" t="s">
        <v>16</v>
      </c>
      <c r="H14" s="6" t="s">
        <v>89</v>
      </c>
      <c r="I14" s="6" t="s">
        <v>37</v>
      </c>
      <c r="J14" s="4" t="s">
        <v>143</v>
      </c>
      <c r="K14" s="4" t="s">
        <v>303</v>
      </c>
      <c r="L14" s="4" t="str">
        <f>IFERROR(VLOOKUP(A14,[1]Hoja1!$A$2:$D$42,4,FALSE), "Sin Resp.")</f>
        <v>Sin Resp.</v>
      </c>
      <c r="M14" s="5" t="s">
        <v>20</v>
      </c>
      <c r="N14" s="6" t="s">
        <v>111</v>
      </c>
      <c r="O14" s="6" t="s">
        <v>171</v>
      </c>
      <c r="P14" s="12">
        <v>46244</v>
      </c>
      <c r="Q14" s="12">
        <v>46241</v>
      </c>
    </row>
    <row r="15" spans="1:18" x14ac:dyDescent="0.3">
      <c r="A15" s="2">
        <v>38395</v>
      </c>
      <c r="B15" s="2" t="s">
        <v>13</v>
      </c>
      <c r="C15" s="3" t="s">
        <v>14</v>
      </c>
      <c r="D15" s="2" t="s">
        <v>22</v>
      </c>
      <c r="E15" s="2" t="s">
        <v>15</v>
      </c>
      <c r="F15" s="11">
        <v>46236</v>
      </c>
      <c r="G15" s="2" t="s">
        <v>16</v>
      </c>
      <c r="H15" s="3" t="s">
        <v>89</v>
      </c>
      <c r="I15" s="3" t="s">
        <v>37</v>
      </c>
      <c r="J15" s="4" t="s">
        <v>172</v>
      </c>
      <c r="K15" s="4" t="s">
        <v>303</v>
      </c>
      <c r="L15" s="4" t="str">
        <f>IFERROR(VLOOKUP(A15,[1]Hoja1!$A$2:$D$42,4,FALSE), "Sin Resp.")</f>
        <v>Sin Resp.</v>
      </c>
      <c r="M15" s="2" t="s">
        <v>20</v>
      </c>
      <c r="N15" s="3" t="s">
        <v>173</v>
      </c>
      <c r="O15" s="3" t="s">
        <v>171</v>
      </c>
      <c r="P15" s="12">
        <v>46244</v>
      </c>
      <c r="Q15" s="12">
        <v>46241</v>
      </c>
    </row>
    <row r="16" spans="1:18" x14ac:dyDescent="0.3">
      <c r="A16" s="5">
        <v>38395</v>
      </c>
      <c r="B16" s="5" t="s">
        <v>13</v>
      </c>
      <c r="C16" s="6" t="s">
        <v>14</v>
      </c>
      <c r="D16" s="5" t="s">
        <v>22</v>
      </c>
      <c r="E16" s="5" t="s">
        <v>15</v>
      </c>
      <c r="F16" s="11">
        <v>46236</v>
      </c>
      <c r="G16" s="5" t="s">
        <v>16</v>
      </c>
      <c r="H16" s="6" t="s">
        <v>89</v>
      </c>
      <c r="I16" s="6" t="s">
        <v>37</v>
      </c>
      <c r="J16" s="4" t="s">
        <v>174</v>
      </c>
      <c r="K16" s="4" t="s">
        <v>303</v>
      </c>
      <c r="L16" s="4" t="str">
        <f>IFERROR(VLOOKUP(A16,[1]Hoja1!$A$2:$D$42,4,FALSE), "Sin Resp.")</f>
        <v>Sin Resp.</v>
      </c>
      <c r="M16" s="5" t="s">
        <v>20</v>
      </c>
      <c r="N16" s="6" t="s">
        <v>175</v>
      </c>
      <c r="O16" s="6" t="s">
        <v>171</v>
      </c>
      <c r="P16" s="12">
        <v>46244</v>
      </c>
      <c r="Q16" s="12">
        <v>46241</v>
      </c>
    </row>
    <row r="17" spans="1:17" x14ac:dyDescent="0.3">
      <c r="A17" s="2">
        <v>38395</v>
      </c>
      <c r="B17" s="2" t="s">
        <v>13</v>
      </c>
      <c r="C17" s="3" t="s">
        <v>14</v>
      </c>
      <c r="D17" s="2" t="s">
        <v>22</v>
      </c>
      <c r="E17" s="2" t="s">
        <v>15</v>
      </c>
      <c r="F17" s="11">
        <v>46236</v>
      </c>
      <c r="G17" s="2" t="s">
        <v>16</v>
      </c>
      <c r="H17" s="3" t="s">
        <v>89</v>
      </c>
      <c r="I17" s="3" t="s">
        <v>37</v>
      </c>
      <c r="J17" s="4" t="s">
        <v>176</v>
      </c>
      <c r="K17" s="4" t="s">
        <v>303</v>
      </c>
      <c r="L17" s="4" t="str">
        <f>IFERROR(VLOOKUP(A17,[1]Hoja1!$A$2:$D$42,4,FALSE), "Sin Resp.")</f>
        <v>Sin Resp.</v>
      </c>
      <c r="M17" s="2" t="s">
        <v>20</v>
      </c>
      <c r="N17" s="3" t="s">
        <v>177</v>
      </c>
      <c r="O17" s="3" t="s">
        <v>171</v>
      </c>
      <c r="P17" s="12">
        <v>46244</v>
      </c>
      <c r="Q17" s="12">
        <v>46241</v>
      </c>
    </row>
    <row r="18" spans="1:17" x14ac:dyDescent="0.3">
      <c r="A18" s="5">
        <v>38397</v>
      </c>
      <c r="B18" s="5" t="s">
        <v>13</v>
      </c>
      <c r="C18" s="6" t="s">
        <v>39</v>
      </c>
      <c r="D18" s="5" t="s">
        <v>22</v>
      </c>
      <c r="E18" s="5" t="s">
        <v>15</v>
      </c>
      <c r="F18" s="11">
        <v>46236</v>
      </c>
      <c r="G18" s="5" t="s">
        <v>16</v>
      </c>
      <c r="H18" s="6" t="s">
        <v>75</v>
      </c>
      <c r="I18" s="6" t="s">
        <v>76</v>
      </c>
      <c r="J18" s="4" t="s">
        <v>77</v>
      </c>
      <c r="K18" s="4" t="s">
        <v>304</v>
      </c>
      <c r="L18" s="4" t="str">
        <f>IFERROR(VLOOKUP(A18,[1]Hoja1!$A$2:$D$42,4,FALSE), "Sin Resp.")</f>
        <v>Sin Resp.</v>
      </c>
      <c r="M18" s="5" t="s">
        <v>26</v>
      </c>
      <c r="N18" s="6" t="s">
        <v>69</v>
      </c>
      <c r="O18" s="6" t="s">
        <v>78</v>
      </c>
      <c r="P18" s="12">
        <v>46244</v>
      </c>
      <c r="Q18" s="12">
        <v>46241</v>
      </c>
    </row>
    <row r="19" spans="1:17" x14ac:dyDescent="0.3">
      <c r="A19" s="5">
        <v>38397</v>
      </c>
      <c r="B19" s="5" t="s">
        <v>13</v>
      </c>
      <c r="C19" s="6" t="s">
        <v>39</v>
      </c>
      <c r="D19" s="5" t="s">
        <v>22</v>
      </c>
      <c r="E19" s="5" t="s">
        <v>15</v>
      </c>
      <c r="F19" s="11">
        <v>46236</v>
      </c>
      <c r="G19" s="5" t="s">
        <v>16</v>
      </c>
      <c r="H19" s="6" t="s">
        <v>75</v>
      </c>
      <c r="I19" s="6" t="s">
        <v>76</v>
      </c>
      <c r="J19" s="4" t="s">
        <v>77</v>
      </c>
      <c r="K19" s="4" t="s">
        <v>304</v>
      </c>
      <c r="L19" s="4" t="str">
        <f>IFERROR(VLOOKUP(A19,[1]Hoja1!$A$2:$D$42,4,FALSE), "Sin Resp.")</f>
        <v>Sin Resp.</v>
      </c>
      <c r="M19" s="5" t="s">
        <v>26</v>
      </c>
      <c r="N19" s="6" t="s">
        <v>69</v>
      </c>
      <c r="O19" s="6" t="s">
        <v>78</v>
      </c>
      <c r="P19" s="12">
        <v>46244</v>
      </c>
      <c r="Q19" s="12">
        <v>46241</v>
      </c>
    </row>
    <row r="20" spans="1:17" x14ac:dyDescent="0.3">
      <c r="A20" s="5" t="s">
        <v>253</v>
      </c>
      <c r="B20" s="5" t="s">
        <v>13</v>
      </c>
      <c r="C20" s="6" t="s">
        <v>39</v>
      </c>
      <c r="D20" s="5" t="s">
        <v>22</v>
      </c>
      <c r="E20" s="5" t="s">
        <v>15</v>
      </c>
      <c r="F20" s="11">
        <v>46236</v>
      </c>
      <c r="G20" s="5" t="s">
        <v>16</v>
      </c>
      <c r="H20" s="6" t="s">
        <v>75</v>
      </c>
      <c r="I20" s="6" t="s">
        <v>76</v>
      </c>
      <c r="J20" s="4" t="s">
        <v>242</v>
      </c>
      <c r="K20" s="4" t="s">
        <v>303</v>
      </c>
      <c r="L20" s="4" t="str">
        <f>IFERROR(VLOOKUP(A20,[1]Hoja1!$A$2:$D$42,4,FALSE), "Sin Resp.")</f>
        <v>Sin Resp.</v>
      </c>
      <c r="M20" s="5" t="s">
        <v>243</v>
      </c>
      <c r="N20" s="6" t="s">
        <v>244</v>
      </c>
      <c r="O20" s="6" t="s">
        <v>254</v>
      </c>
      <c r="P20" s="12">
        <v>46244</v>
      </c>
      <c r="Q20" s="12">
        <v>46241</v>
      </c>
    </row>
    <row r="21" spans="1:17" x14ac:dyDescent="0.3">
      <c r="A21" s="2" t="s">
        <v>253</v>
      </c>
      <c r="B21" s="2" t="s">
        <v>13</v>
      </c>
      <c r="C21" s="3" t="s">
        <v>39</v>
      </c>
      <c r="D21" s="2" t="s">
        <v>22</v>
      </c>
      <c r="E21" s="2" t="s">
        <v>15</v>
      </c>
      <c r="F21" s="11">
        <v>46236</v>
      </c>
      <c r="G21" s="2" t="s">
        <v>16</v>
      </c>
      <c r="H21" s="3" t="s">
        <v>75</v>
      </c>
      <c r="I21" s="3" t="s">
        <v>76</v>
      </c>
      <c r="J21" s="4" t="s">
        <v>242</v>
      </c>
      <c r="K21" s="4" t="s">
        <v>303</v>
      </c>
      <c r="L21" s="4" t="str">
        <f>IFERROR(VLOOKUP(A21,[1]Hoja1!$A$2:$D$42,4,FALSE), "Sin Resp.")</f>
        <v>Sin Resp.</v>
      </c>
      <c r="M21" s="2" t="s">
        <v>243</v>
      </c>
      <c r="N21" s="3" t="s">
        <v>244</v>
      </c>
      <c r="O21" s="3" t="s">
        <v>255</v>
      </c>
      <c r="P21" s="12">
        <v>46244</v>
      </c>
      <c r="Q21" s="12">
        <v>46241</v>
      </c>
    </row>
    <row r="22" spans="1:17" x14ac:dyDescent="0.3">
      <c r="A22" s="5" t="s">
        <v>253</v>
      </c>
      <c r="B22" s="5" t="s">
        <v>13</v>
      </c>
      <c r="C22" s="6" t="s">
        <v>39</v>
      </c>
      <c r="D22" s="5" t="s">
        <v>22</v>
      </c>
      <c r="E22" s="5" t="s">
        <v>15</v>
      </c>
      <c r="F22" s="11">
        <v>46236</v>
      </c>
      <c r="G22" s="5" t="s">
        <v>16</v>
      </c>
      <c r="H22" s="6" t="s">
        <v>75</v>
      </c>
      <c r="I22" s="6" t="s">
        <v>76</v>
      </c>
      <c r="J22" s="4" t="s">
        <v>242</v>
      </c>
      <c r="K22" s="4" t="s">
        <v>303</v>
      </c>
      <c r="L22" s="4" t="str">
        <f>IFERROR(VLOOKUP(A22,[1]Hoja1!$A$2:$D$42,4,FALSE), "Sin Resp.")</f>
        <v>Sin Resp.</v>
      </c>
      <c r="M22" s="5" t="s">
        <v>243</v>
      </c>
      <c r="N22" s="6" t="s">
        <v>244</v>
      </c>
      <c r="O22" s="6" t="s">
        <v>256</v>
      </c>
      <c r="P22" s="12">
        <v>46244</v>
      </c>
      <c r="Q22" s="12">
        <v>46241</v>
      </c>
    </row>
    <row r="23" spans="1:17" x14ac:dyDescent="0.3">
      <c r="A23" s="2" t="s">
        <v>253</v>
      </c>
      <c r="B23" s="2" t="s">
        <v>13</v>
      </c>
      <c r="C23" s="3" t="s">
        <v>39</v>
      </c>
      <c r="D23" s="2" t="s">
        <v>22</v>
      </c>
      <c r="E23" s="2" t="s">
        <v>15</v>
      </c>
      <c r="F23" s="11">
        <v>46236</v>
      </c>
      <c r="G23" s="2" t="s">
        <v>16</v>
      </c>
      <c r="H23" s="3" t="s">
        <v>75</v>
      </c>
      <c r="I23" s="3" t="s">
        <v>76</v>
      </c>
      <c r="J23" s="4" t="s">
        <v>242</v>
      </c>
      <c r="K23" s="4" t="s">
        <v>303</v>
      </c>
      <c r="L23" s="4" t="str">
        <f>IFERROR(VLOOKUP(A23,[1]Hoja1!$A$2:$D$42,4,FALSE), "Sin Resp.")</f>
        <v>Sin Resp.</v>
      </c>
      <c r="M23" s="2" t="s">
        <v>243</v>
      </c>
      <c r="N23" s="3" t="s">
        <v>244</v>
      </c>
      <c r="O23" s="3" t="s">
        <v>257</v>
      </c>
      <c r="P23" s="12">
        <v>46244</v>
      </c>
      <c r="Q23" s="12">
        <v>46241</v>
      </c>
    </row>
    <row r="24" spans="1:17" x14ac:dyDescent="0.3">
      <c r="A24" s="5" t="s">
        <v>253</v>
      </c>
      <c r="B24" s="5" t="s">
        <v>13</v>
      </c>
      <c r="C24" s="6" t="s">
        <v>39</v>
      </c>
      <c r="D24" s="5" t="s">
        <v>22</v>
      </c>
      <c r="E24" s="5" t="s">
        <v>15</v>
      </c>
      <c r="F24" s="11">
        <v>46236</v>
      </c>
      <c r="G24" s="5" t="s">
        <v>16</v>
      </c>
      <c r="H24" s="6" t="s">
        <v>75</v>
      </c>
      <c r="I24" s="6" t="s">
        <v>76</v>
      </c>
      <c r="J24" s="4" t="s">
        <v>242</v>
      </c>
      <c r="K24" s="4" t="s">
        <v>303</v>
      </c>
      <c r="L24" s="4" t="str">
        <f>IFERROR(VLOOKUP(A24,[1]Hoja1!$A$2:$D$42,4,FALSE), "Sin Resp.")</f>
        <v>Sin Resp.</v>
      </c>
      <c r="M24" s="5" t="s">
        <v>243</v>
      </c>
      <c r="N24" s="6" t="s">
        <v>244</v>
      </c>
      <c r="O24" s="6" t="s">
        <v>258</v>
      </c>
      <c r="P24" s="12">
        <v>46244</v>
      </c>
      <c r="Q24" s="12">
        <v>46241</v>
      </c>
    </row>
    <row r="25" spans="1:17" x14ac:dyDescent="0.3">
      <c r="A25" s="2" t="s">
        <v>253</v>
      </c>
      <c r="B25" s="2" t="s">
        <v>13</v>
      </c>
      <c r="C25" s="3" t="s">
        <v>39</v>
      </c>
      <c r="D25" s="2" t="s">
        <v>22</v>
      </c>
      <c r="E25" s="2" t="s">
        <v>15</v>
      </c>
      <c r="F25" s="11">
        <v>46236</v>
      </c>
      <c r="G25" s="2" t="s">
        <v>16</v>
      </c>
      <c r="H25" s="3" t="s">
        <v>75</v>
      </c>
      <c r="I25" s="3" t="s">
        <v>76</v>
      </c>
      <c r="J25" s="4" t="s">
        <v>242</v>
      </c>
      <c r="K25" s="4" t="s">
        <v>303</v>
      </c>
      <c r="L25" s="4" t="str">
        <f>IFERROR(VLOOKUP(A25,[1]Hoja1!$A$2:$D$42,4,FALSE), "Sin Resp.")</f>
        <v>Sin Resp.</v>
      </c>
      <c r="M25" s="2" t="s">
        <v>243</v>
      </c>
      <c r="N25" s="3" t="s">
        <v>244</v>
      </c>
      <c r="O25" s="3" t="s">
        <v>259</v>
      </c>
      <c r="P25" s="12">
        <v>46244</v>
      </c>
      <c r="Q25" s="12">
        <v>46241</v>
      </c>
    </row>
    <row r="26" spans="1:17" x14ac:dyDescent="0.3">
      <c r="A26" s="5" t="s">
        <v>253</v>
      </c>
      <c r="B26" s="5" t="s">
        <v>13</v>
      </c>
      <c r="C26" s="6" t="s">
        <v>39</v>
      </c>
      <c r="D26" s="5" t="s">
        <v>22</v>
      </c>
      <c r="E26" s="5" t="s">
        <v>15</v>
      </c>
      <c r="F26" s="11">
        <v>46236</v>
      </c>
      <c r="G26" s="5" t="s">
        <v>16</v>
      </c>
      <c r="H26" s="6" t="s">
        <v>75</v>
      </c>
      <c r="I26" s="6" t="s">
        <v>76</v>
      </c>
      <c r="J26" s="4" t="s">
        <v>242</v>
      </c>
      <c r="K26" s="4" t="s">
        <v>303</v>
      </c>
      <c r="L26" s="4" t="str">
        <f>IFERROR(VLOOKUP(A26,[1]Hoja1!$A$2:$D$42,4,FALSE), "Sin Resp.")</f>
        <v>Sin Resp.</v>
      </c>
      <c r="M26" s="5" t="s">
        <v>243</v>
      </c>
      <c r="N26" s="6" t="s">
        <v>244</v>
      </c>
      <c r="O26" s="6" t="s">
        <v>260</v>
      </c>
      <c r="P26" s="12">
        <v>46244</v>
      </c>
      <c r="Q26" s="12">
        <v>46241</v>
      </c>
    </row>
    <row r="27" spans="1:17" x14ac:dyDescent="0.3">
      <c r="A27" s="2" t="s">
        <v>261</v>
      </c>
      <c r="B27" s="2" t="s">
        <v>13</v>
      </c>
      <c r="C27" s="3" t="s">
        <v>39</v>
      </c>
      <c r="D27" s="2" t="s">
        <v>22</v>
      </c>
      <c r="E27" s="2" t="s">
        <v>15</v>
      </c>
      <c r="F27" s="11">
        <v>46236</v>
      </c>
      <c r="G27" s="2" t="s">
        <v>16</v>
      </c>
      <c r="H27" s="3" t="s">
        <v>262</v>
      </c>
      <c r="I27" s="3" t="s">
        <v>41</v>
      </c>
      <c r="J27" s="4" t="s">
        <v>242</v>
      </c>
      <c r="K27" s="4" t="s">
        <v>305</v>
      </c>
      <c r="L27" s="4" t="str">
        <f>IFERROR(VLOOKUP(A27,[1]Hoja1!$A$2:$D$42,4,FALSE), "Sin Resp.")</f>
        <v>Sin Resp.</v>
      </c>
      <c r="M27" s="2" t="s">
        <v>243</v>
      </c>
      <c r="N27" s="3" t="s">
        <v>244</v>
      </c>
      <c r="O27" s="3" t="s">
        <v>263</v>
      </c>
      <c r="P27" s="12">
        <v>46244</v>
      </c>
      <c r="Q27" s="12">
        <v>46241</v>
      </c>
    </row>
    <row r="28" spans="1:17" x14ac:dyDescent="0.3">
      <c r="A28" s="5" t="s">
        <v>261</v>
      </c>
      <c r="B28" s="5" t="s">
        <v>13</v>
      </c>
      <c r="C28" s="6" t="s">
        <v>39</v>
      </c>
      <c r="D28" s="5" t="s">
        <v>22</v>
      </c>
      <c r="E28" s="5" t="s">
        <v>15</v>
      </c>
      <c r="F28" s="11">
        <v>46236</v>
      </c>
      <c r="G28" s="5" t="s">
        <v>16</v>
      </c>
      <c r="H28" s="6" t="s">
        <v>262</v>
      </c>
      <c r="I28" s="6" t="s">
        <v>41</v>
      </c>
      <c r="J28" s="4" t="s">
        <v>242</v>
      </c>
      <c r="K28" s="4" t="s">
        <v>305</v>
      </c>
      <c r="L28" s="4" t="str">
        <f>IFERROR(VLOOKUP(A28,[1]Hoja1!$A$2:$D$42,4,FALSE), "Sin Resp.")</f>
        <v>Sin Resp.</v>
      </c>
      <c r="M28" s="5" t="s">
        <v>243</v>
      </c>
      <c r="N28" s="6" t="s">
        <v>244</v>
      </c>
      <c r="O28" s="6" t="s">
        <v>264</v>
      </c>
      <c r="P28" s="12">
        <v>46244</v>
      </c>
      <c r="Q28" s="12">
        <v>46241</v>
      </c>
    </row>
    <row r="29" spans="1:17" x14ac:dyDescent="0.3">
      <c r="A29" s="2">
        <v>38403</v>
      </c>
      <c r="B29" s="2" t="s">
        <v>13</v>
      </c>
      <c r="C29" s="3" t="s">
        <v>14</v>
      </c>
      <c r="D29" s="2" t="s">
        <v>22</v>
      </c>
      <c r="E29" s="2" t="s">
        <v>15</v>
      </c>
      <c r="F29" s="11">
        <v>46236</v>
      </c>
      <c r="G29" s="2" t="s">
        <v>16</v>
      </c>
      <c r="H29" s="3" t="s">
        <v>178</v>
      </c>
      <c r="I29" s="3" t="s">
        <v>23</v>
      </c>
      <c r="J29" s="4" t="s">
        <v>94</v>
      </c>
      <c r="K29" s="4" t="s">
        <v>303</v>
      </c>
      <c r="L29" s="4" t="str">
        <f>IFERROR(VLOOKUP(A29,[1]Hoja1!$A$2:$D$42,4,FALSE), "Sin Resp.")</f>
        <v>Sin Resp.</v>
      </c>
      <c r="M29" s="2" t="s">
        <v>20</v>
      </c>
      <c r="N29" s="3" t="s">
        <v>64</v>
      </c>
      <c r="O29" s="3" t="s">
        <v>179</v>
      </c>
      <c r="P29" s="12">
        <v>46244</v>
      </c>
      <c r="Q29" s="12">
        <v>46241</v>
      </c>
    </row>
    <row r="30" spans="1:17" x14ac:dyDescent="0.3">
      <c r="A30" s="5">
        <v>38403</v>
      </c>
      <c r="B30" s="5" t="s">
        <v>13</v>
      </c>
      <c r="C30" s="6" t="s">
        <v>14</v>
      </c>
      <c r="D30" s="5" t="s">
        <v>22</v>
      </c>
      <c r="E30" s="5" t="s">
        <v>15</v>
      </c>
      <c r="F30" s="11">
        <v>46236</v>
      </c>
      <c r="G30" s="5" t="s">
        <v>16</v>
      </c>
      <c r="H30" s="6" t="s">
        <v>178</v>
      </c>
      <c r="I30" s="6" t="s">
        <v>23</v>
      </c>
      <c r="J30" s="4" t="s">
        <v>180</v>
      </c>
      <c r="K30" s="4" t="s">
        <v>303</v>
      </c>
      <c r="L30" s="4" t="str">
        <f>IFERROR(VLOOKUP(A30,[1]Hoja1!$A$2:$D$42,4,FALSE), "Sin Resp.")</f>
        <v>Sin Resp.</v>
      </c>
      <c r="M30" s="5" t="s">
        <v>20</v>
      </c>
      <c r="N30" s="6" t="s">
        <v>181</v>
      </c>
      <c r="O30" s="6" t="s">
        <v>179</v>
      </c>
      <c r="P30" s="12">
        <v>46244</v>
      </c>
      <c r="Q30" s="12">
        <v>46241</v>
      </c>
    </row>
    <row r="31" spans="1:17" x14ac:dyDescent="0.3">
      <c r="A31" s="2">
        <v>38405</v>
      </c>
      <c r="B31" s="2" t="s">
        <v>13</v>
      </c>
      <c r="C31" s="3" t="s">
        <v>14</v>
      </c>
      <c r="D31" s="2" t="s">
        <v>22</v>
      </c>
      <c r="E31" s="2" t="s">
        <v>15</v>
      </c>
      <c r="F31" s="11">
        <v>46236</v>
      </c>
      <c r="G31" s="2" t="s">
        <v>16</v>
      </c>
      <c r="H31" s="3" t="s">
        <v>72</v>
      </c>
      <c r="I31" s="3" t="s">
        <v>25</v>
      </c>
      <c r="J31" s="4" t="s">
        <v>182</v>
      </c>
      <c r="K31" s="4" t="s">
        <v>303</v>
      </c>
      <c r="L31" s="4" t="str">
        <f>IFERROR(VLOOKUP(A31,[1]Hoja1!$A$2:$D$42,4,FALSE), "Sin Resp.")</f>
        <v>Sin Resp.</v>
      </c>
      <c r="M31" s="2" t="s">
        <v>20</v>
      </c>
      <c r="N31" s="3" t="s">
        <v>183</v>
      </c>
      <c r="O31" s="3" t="s">
        <v>184</v>
      </c>
      <c r="P31" s="12">
        <v>46244</v>
      </c>
      <c r="Q31" s="12">
        <v>46241</v>
      </c>
    </row>
    <row r="32" spans="1:17" x14ac:dyDescent="0.3">
      <c r="A32" s="5">
        <v>38405</v>
      </c>
      <c r="B32" s="5" t="s">
        <v>13</v>
      </c>
      <c r="C32" s="6" t="s">
        <v>14</v>
      </c>
      <c r="D32" s="5" t="s">
        <v>22</v>
      </c>
      <c r="E32" s="5" t="s">
        <v>15</v>
      </c>
      <c r="F32" s="11">
        <v>46236</v>
      </c>
      <c r="G32" s="5" t="s">
        <v>16</v>
      </c>
      <c r="H32" s="6" t="s">
        <v>72</v>
      </c>
      <c r="I32" s="6" t="s">
        <v>25</v>
      </c>
      <c r="J32" s="4" t="s">
        <v>42</v>
      </c>
      <c r="K32" s="4" t="s">
        <v>303</v>
      </c>
      <c r="L32" s="4" t="str">
        <f>IFERROR(VLOOKUP(A32,[1]Hoja1!$A$2:$D$42,4,FALSE), "Sin Resp.")</f>
        <v>Sin Resp.</v>
      </c>
      <c r="M32" s="5" t="s">
        <v>20</v>
      </c>
      <c r="N32" s="6" t="s">
        <v>96</v>
      </c>
      <c r="O32" s="6" t="s">
        <v>184</v>
      </c>
      <c r="P32" s="12">
        <v>46244</v>
      </c>
      <c r="Q32" s="12">
        <v>46241</v>
      </c>
    </row>
    <row r="33" spans="1:17" x14ac:dyDescent="0.3">
      <c r="A33" s="2">
        <v>38405</v>
      </c>
      <c r="B33" s="2" t="s">
        <v>13</v>
      </c>
      <c r="C33" s="3" t="s">
        <v>14</v>
      </c>
      <c r="D33" s="2" t="s">
        <v>22</v>
      </c>
      <c r="E33" s="2" t="s">
        <v>15</v>
      </c>
      <c r="F33" s="11">
        <v>46236</v>
      </c>
      <c r="G33" s="2" t="s">
        <v>16</v>
      </c>
      <c r="H33" s="3" t="s">
        <v>72</v>
      </c>
      <c r="I33" s="3" t="s">
        <v>25</v>
      </c>
      <c r="J33" s="4" t="s">
        <v>42</v>
      </c>
      <c r="K33" s="4" t="s">
        <v>303</v>
      </c>
      <c r="L33" s="4" t="str">
        <f>IFERROR(VLOOKUP(A33,[1]Hoja1!$A$2:$D$42,4,FALSE), "Sin Resp.")</f>
        <v>Sin Resp.</v>
      </c>
      <c r="M33" s="2" t="s">
        <v>20</v>
      </c>
      <c r="N33" s="3" t="s">
        <v>96</v>
      </c>
      <c r="O33" s="3" t="s">
        <v>184</v>
      </c>
      <c r="P33" s="12">
        <v>46244</v>
      </c>
      <c r="Q33" s="12">
        <v>46241</v>
      </c>
    </row>
    <row r="34" spans="1:17" x14ac:dyDescent="0.3">
      <c r="A34" s="5">
        <v>38405</v>
      </c>
      <c r="B34" s="5" t="s">
        <v>13</v>
      </c>
      <c r="C34" s="6" t="s">
        <v>14</v>
      </c>
      <c r="D34" s="5" t="s">
        <v>22</v>
      </c>
      <c r="E34" s="5" t="s">
        <v>15</v>
      </c>
      <c r="F34" s="11">
        <v>46236</v>
      </c>
      <c r="G34" s="5" t="s">
        <v>16</v>
      </c>
      <c r="H34" s="6" t="s">
        <v>72</v>
      </c>
      <c r="I34" s="6" t="s">
        <v>25</v>
      </c>
      <c r="J34" s="4" t="s">
        <v>42</v>
      </c>
      <c r="K34" s="4" t="s">
        <v>303</v>
      </c>
      <c r="L34" s="4" t="str">
        <f>IFERROR(VLOOKUP(A34,[1]Hoja1!$A$2:$D$42,4,FALSE), "Sin Resp.")</f>
        <v>Sin Resp.</v>
      </c>
      <c r="M34" s="5" t="s">
        <v>20</v>
      </c>
      <c r="N34" s="6" t="s">
        <v>96</v>
      </c>
      <c r="O34" s="6" t="s">
        <v>184</v>
      </c>
      <c r="P34" s="12">
        <v>46244</v>
      </c>
      <c r="Q34" s="12">
        <v>46241</v>
      </c>
    </row>
    <row r="35" spans="1:17" x14ac:dyDescent="0.3">
      <c r="A35" s="2">
        <v>38408</v>
      </c>
      <c r="B35" s="2" t="s">
        <v>13</v>
      </c>
      <c r="C35" s="3" t="s">
        <v>39</v>
      </c>
      <c r="D35" s="2" t="s">
        <v>22</v>
      </c>
      <c r="E35" s="2" t="s">
        <v>15</v>
      </c>
      <c r="F35" s="11">
        <v>46236</v>
      </c>
      <c r="G35" s="2" t="s">
        <v>16</v>
      </c>
      <c r="H35" s="3" t="s">
        <v>127</v>
      </c>
      <c r="I35" s="3" t="s">
        <v>67</v>
      </c>
      <c r="J35" s="8" t="s">
        <v>42</v>
      </c>
      <c r="K35" s="4" t="s">
        <v>306</v>
      </c>
      <c r="L35" s="4" t="str">
        <f>IFERROR(VLOOKUP(A35,[1]Hoja1!$A$2:$D$42,4,FALSE), "Sin Resp.")</f>
        <v>Sin Resp.</v>
      </c>
      <c r="M35" s="2" t="s">
        <v>26</v>
      </c>
      <c r="N35" s="3" t="s">
        <v>31</v>
      </c>
      <c r="O35" s="3" t="s">
        <v>123</v>
      </c>
      <c r="P35" s="12">
        <v>46244</v>
      </c>
      <c r="Q35" s="12">
        <v>46241</v>
      </c>
    </row>
    <row r="36" spans="1:17" x14ac:dyDescent="0.3">
      <c r="A36" s="2">
        <v>38408</v>
      </c>
      <c r="B36" s="2" t="s">
        <v>13</v>
      </c>
      <c r="C36" s="3" t="s">
        <v>39</v>
      </c>
      <c r="D36" s="2" t="s">
        <v>22</v>
      </c>
      <c r="E36" s="2" t="s">
        <v>15</v>
      </c>
      <c r="F36" s="11">
        <v>46236</v>
      </c>
      <c r="G36" s="2" t="s">
        <v>16</v>
      </c>
      <c r="H36" s="3" t="s">
        <v>127</v>
      </c>
      <c r="I36" s="3" t="s">
        <v>67</v>
      </c>
      <c r="J36" s="8" t="s">
        <v>42</v>
      </c>
      <c r="K36" s="4" t="s">
        <v>306</v>
      </c>
      <c r="L36" s="4" t="str">
        <f>IFERROR(VLOOKUP(A36,[1]Hoja1!$A$2:$D$42,4,FALSE), "Sin Resp.")</f>
        <v>Sin Resp.</v>
      </c>
      <c r="M36" s="2" t="s">
        <v>26</v>
      </c>
      <c r="N36" s="3" t="s">
        <v>31</v>
      </c>
      <c r="O36" s="3" t="s">
        <v>123</v>
      </c>
      <c r="P36" s="12">
        <v>46244</v>
      </c>
      <c r="Q36" s="12">
        <v>46241</v>
      </c>
    </row>
    <row r="37" spans="1:17" x14ac:dyDescent="0.3">
      <c r="A37" s="5">
        <v>38411</v>
      </c>
      <c r="B37" s="5" t="s">
        <v>13</v>
      </c>
      <c r="C37" s="6" t="s">
        <v>29</v>
      </c>
      <c r="D37" s="5" t="s">
        <v>22</v>
      </c>
      <c r="E37" s="5" t="s">
        <v>15</v>
      </c>
      <c r="F37" s="11">
        <v>46236</v>
      </c>
      <c r="G37" s="5" t="s">
        <v>16</v>
      </c>
      <c r="H37" s="6" t="s">
        <v>185</v>
      </c>
      <c r="I37" s="6" t="s">
        <v>186</v>
      </c>
      <c r="J37" s="8" t="s">
        <v>187</v>
      </c>
      <c r="K37" s="4" t="s">
        <v>306</v>
      </c>
      <c r="L37" s="4" t="str">
        <f>IFERROR(VLOOKUP(A37,[1]Hoja1!$A$2:$D$42,4,FALSE), "Sin Resp.")</f>
        <v>Sin Resp.</v>
      </c>
      <c r="M37" s="5" t="s">
        <v>20</v>
      </c>
      <c r="N37" s="6" t="s">
        <v>31</v>
      </c>
      <c r="O37" s="6" t="s">
        <v>108</v>
      </c>
      <c r="P37" s="12">
        <v>46244</v>
      </c>
      <c r="Q37" s="12">
        <v>46241</v>
      </c>
    </row>
    <row r="38" spans="1:17" x14ac:dyDescent="0.3">
      <c r="A38" s="2">
        <v>38411</v>
      </c>
      <c r="B38" s="2" t="s">
        <v>13</v>
      </c>
      <c r="C38" s="3" t="s">
        <v>29</v>
      </c>
      <c r="D38" s="2" t="s">
        <v>22</v>
      </c>
      <c r="E38" s="2" t="s">
        <v>15</v>
      </c>
      <c r="F38" s="11">
        <v>46236</v>
      </c>
      <c r="G38" s="2" t="s">
        <v>16</v>
      </c>
      <c r="H38" s="3" t="s">
        <v>185</v>
      </c>
      <c r="I38" s="3" t="s">
        <v>186</v>
      </c>
      <c r="J38" s="8" t="s">
        <v>188</v>
      </c>
      <c r="K38" s="4" t="s">
        <v>306</v>
      </c>
      <c r="L38" s="4" t="str">
        <f>IFERROR(VLOOKUP(A38,[1]Hoja1!$A$2:$D$42,4,FALSE), "Sin Resp.")</f>
        <v>Sin Resp.</v>
      </c>
      <c r="M38" s="2" t="s">
        <v>20</v>
      </c>
      <c r="N38" s="3" t="s">
        <v>31</v>
      </c>
      <c r="O38" s="3" t="s">
        <v>108</v>
      </c>
      <c r="P38" s="12">
        <v>46244</v>
      </c>
      <c r="Q38" s="12">
        <v>46241</v>
      </c>
    </row>
    <row r="39" spans="1:17" x14ac:dyDescent="0.3">
      <c r="A39" s="5">
        <v>38411</v>
      </c>
      <c r="B39" s="5" t="s">
        <v>13</v>
      </c>
      <c r="C39" s="6" t="s">
        <v>29</v>
      </c>
      <c r="D39" s="5" t="s">
        <v>22</v>
      </c>
      <c r="E39" s="5" t="s">
        <v>15</v>
      </c>
      <c r="F39" s="11">
        <v>46236</v>
      </c>
      <c r="G39" s="5" t="s">
        <v>16</v>
      </c>
      <c r="H39" s="6" t="s">
        <v>185</v>
      </c>
      <c r="I39" s="6" t="s">
        <v>186</v>
      </c>
      <c r="J39" s="8" t="s">
        <v>189</v>
      </c>
      <c r="K39" s="4" t="s">
        <v>306</v>
      </c>
      <c r="L39" s="4" t="str">
        <f>IFERROR(VLOOKUP(A39,[1]Hoja1!$A$2:$D$42,4,FALSE), "Sin Resp.")</f>
        <v>Sin Resp.</v>
      </c>
      <c r="M39" s="5" t="s">
        <v>20</v>
      </c>
      <c r="N39" s="6" t="s">
        <v>31</v>
      </c>
      <c r="O39" s="6" t="s">
        <v>108</v>
      </c>
      <c r="P39" s="12">
        <v>46244</v>
      </c>
      <c r="Q39" s="12">
        <v>46241</v>
      </c>
    </row>
    <row r="40" spans="1:17" x14ac:dyDescent="0.3">
      <c r="A40" s="2">
        <v>38416</v>
      </c>
      <c r="B40" s="2" t="s">
        <v>13</v>
      </c>
      <c r="C40" s="3" t="s">
        <v>14</v>
      </c>
      <c r="D40" s="2" t="s">
        <v>22</v>
      </c>
      <c r="E40" s="2" t="s">
        <v>15</v>
      </c>
      <c r="F40" s="11">
        <v>46236</v>
      </c>
      <c r="G40" s="2" t="s">
        <v>16</v>
      </c>
      <c r="H40" s="3" t="s">
        <v>126</v>
      </c>
      <c r="I40" s="3" t="s">
        <v>41</v>
      </c>
      <c r="J40" s="4" t="s">
        <v>19</v>
      </c>
      <c r="K40" s="4" t="s">
        <v>301</v>
      </c>
      <c r="L40" s="4" t="str">
        <f>IFERROR(VLOOKUP(A40,[1]Hoja1!$A$2:$D$42,4,FALSE), "Sin Resp.")</f>
        <v>Sin Resp.</v>
      </c>
      <c r="M40" s="2" t="s">
        <v>20</v>
      </c>
      <c r="N40" s="3" t="s">
        <v>21</v>
      </c>
      <c r="O40" s="3" t="s">
        <v>190</v>
      </c>
      <c r="P40" s="12">
        <v>46244</v>
      </c>
      <c r="Q40" s="12">
        <v>46241</v>
      </c>
    </row>
    <row r="41" spans="1:17" x14ac:dyDescent="0.3">
      <c r="A41" s="5">
        <v>38416</v>
      </c>
      <c r="B41" s="5" t="s">
        <v>13</v>
      </c>
      <c r="C41" s="6" t="s">
        <v>14</v>
      </c>
      <c r="D41" s="5" t="s">
        <v>22</v>
      </c>
      <c r="E41" s="5" t="s">
        <v>15</v>
      </c>
      <c r="F41" s="11">
        <v>46236</v>
      </c>
      <c r="G41" s="5" t="s">
        <v>16</v>
      </c>
      <c r="H41" s="6" t="s">
        <v>126</v>
      </c>
      <c r="I41" s="6" t="s">
        <v>41</v>
      </c>
      <c r="J41" s="4" t="s">
        <v>191</v>
      </c>
      <c r="K41" s="4" t="s">
        <v>301</v>
      </c>
      <c r="L41" s="4" t="str">
        <f>IFERROR(VLOOKUP(A41,[1]Hoja1!$A$2:$D$42,4,FALSE), "Sin Resp.")</f>
        <v>Sin Resp.</v>
      </c>
      <c r="M41" s="5" t="s">
        <v>20</v>
      </c>
      <c r="N41" s="6" t="s">
        <v>138</v>
      </c>
      <c r="O41" s="6" t="s">
        <v>190</v>
      </c>
      <c r="P41" s="12">
        <v>46244</v>
      </c>
      <c r="Q41" s="12">
        <v>46241</v>
      </c>
    </row>
    <row r="42" spans="1:17" x14ac:dyDescent="0.3">
      <c r="A42" s="2" t="s">
        <v>265</v>
      </c>
      <c r="B42" s="2" t="s">
        <v>13</v>
      </c>
      <c r="C42" s="3" t="s">
        <v>14</v>
      </c>
      <c r="D42" s="2" t="s">
        <v>22</v>
      </c>
      <c r="E42" s="2" t="s">
        <v>15</v>
      </c>
      <c r="F42" s="11">
        <v>46236</v>
      </c>
      <c r="G42" s="2" t="s">
        <v>16</v>
      </c>
      <c r="H42" s="3" t="s">
        <v>126</v>
      </c>
      <c r="I42" s="3" t="s">
        <v>41</v>
      </c>
      <c r="J42" s="4" t="s">
        <v>242</v>
      </c>
      <c r="K42" s="4" t="s">
        <v>307</v>
      </c>
      <c r="L42" s="4" t="str">
        <f>IFERROR(VLOOKUP(A42,[1]Hoja1!$A$2:$D$42,4,FALSE), "Sin Resp.")</f>
        <v>Sin Resp.</v>
      </c>
      <c r="M42" s="2" t="s">
        <v>243</v>
      </c>
      <c r="N42" s="3" t="s">
        <v>244</v>
      </c>
      <c r="O42" s="3" t="s">
        <v>266</v>
      </c>
      <c r="P42" s="12">
        <v>46244</v>
      </c>
      <c r="Q42" s="12">
        <v>46241</v>
      </c>
    </row>
    <row r="43" spans="1:17" x14ac:dyDescent="0.3">
      <c r="A43" s="5" t="s">
        <v>267</v>
      </c>
      <c r="B43" s="5" t="s">
        <v>13</v>
      </c>
      <c r="C43" s="6" t="s">
        <v>29</v>
      </c>
      <c r="D43" s="5" t="s">
        <v>22</v>
      </c>
      <c r="E43" s="5" t="s">
        <v>15</v>
      </c>
      <c r="F43" s="11">
        <v>46236</v>
      </c>
      <c r="G43" s="5" t="s">
        <v>16</v>
      </c>
      <c r="H43" s="6" t="s">
        <v>268</v>
      </c>
      <c r="I43" s="6" t="s">
        <v>23</v>
      </c>
      <c r="J43" s="4" t="s">
        <v>242</v>
      </c>
      <c r="K43" s="4" t="s">
        <v>307</v>
      </c>
      <c r="L43" s="4" t="str">
        <f>IFERROR(VLOOKUP(A43,[1]Hoja1!$A$2:$D$42,4,FALSE), "Sin Resp.")</f>
        <v>Sin Resp.</v>
      </c>
      <c r="M43" s="5" t="s">
        <v>243</v>
      </c>
      <c r="N43" s="6" t="s">
        <v>244</v>
      </c>
      <c r="O43" s="6" t="s">
        <v>269</v>
      </c>
      <c r="P43" s="12">
        <v>46244</v>
      </c>
      <c r="Q43" s="12">
        <v>46241</v>
      </c>
    </row>
    <row r="44" spans="1:17" x14ac:dyDescent="0.3">
      <c r="A44" s="2">
        <v>38422</v>
      </c>
      <c r="B44" s="2" t="s">
        <v>13</v>
      </c>
      <c r="C44" s="3" t="s">
        <v>14</v>
      </c>
      <c r="D44" s="2" t="s">
        <v>22</v>
      </c>
      <c r="E44" s="2" t="s">
        <v>15</v>
      </c>
      <c r="F44" s="11">
        <v>46236</v>
      </c>
      <c r="G44" s="2" t="s">
        <v>16</v>
      </c>
      <c r="H44" s="3" t="s">
        <v>102</v>
      </c>
      <c r="I44" s="3" t="s">
        <v>18</v>
      </c>
      <c r="J44" s="4" t="s">
        <v>192</v>
      </c>
      <c r="K44" s="4" t="s">
        <v>303</v>
      </c>
      <c r="L44" s="4" t="str">
        <f>IFERROR(VLOOKUP(A44,[1]Hoja1!$A$2:$D$42,4,FALSE), "Sin Resp.")</f>
        <v>Sin Resp.</v>
      </c>
      <c r="M44" s="2" t="s">
        <v>20</v>
      </c>
      <c r="N44" s="3" t="s">
        <v>193</v>
      </c>
      <c r="O44" s="3" t="s">
        <v>194</v>
      </c>
      <c r="P44" s="12">
        <v>46244</v>
      </c>
      <c r="Q44" s="12">
        <v>46241</v>
      </c>
    </row>
    <row r="45" spans="1:17" x14ac:dyDescent="0.3">
      <c r="A45" s="5">
        <v>38422</v>
      </c>
      <c r="B45" s="5" t="s">
        <v>13</v>
      </c>
      <c r="C45" s="6" t="s">
        <v>14</v>
      </c>
      <c r="D45" s="5" t="s">
        <v>22</v>
      </c>
      <c r="E45" s="5" t="s">
        <v>15</v>
      </c>
      <c r="F45" s="11">
        <v>46236</v>
      </c>
      <c r="G45" s="5" t="s">
        <v>16</v>
      </c>
      <c r="H45" s="6" t="s">
        <v>102</v>
      </c>
      <c r="I45" s="6" t="s">
        <v>18</v>
      </c>
      <c r="J45" s="4" t="s">
        <v>195</v>
      </c>
      <c r="K45" s="4" t="s">
        <v>303</v>
      </c>
      <c r="L45" s="4" t="str">
        <f>IFERROR(VLOOKUP(A45,[1]Hoja1!$A$2:$D$42,4,FALSE), "Sin Resp.")</f>
        <v>Sin Resp.</v>
      </c>
      <c r="M45" s="5" t="s">
        <v>20</v>
      </c>
      <c r="N45" s="6" t="s">
        <v>196</v>
      </c>
      <c r="O45" s="6" t="s">
        <v>194</v>
      </c>
      <c r="P45" s="12">
        <v>46244</v>
      </c>
      <c r="Q45" s="12">
        <v>46241</v>
      </c>
    </row>
    <row r="46" spans="1:17" x14ac:dyDescent="0.3">
      <c r="A46" s="2">
        <v>38422</v>
      </c>
      <c r="B46" s="2" t="s">
        <v>13</v>
      </c>
      <c r="C46" s="3" t="s">
        <v>14</v>
      </c>
      <c r="D46" s="2" t="s">
        <v>22</v>
      </c>
      <c r="E46" s="2" t="s">
        <v>15</v>
      </c>
      <c r="F46" s="11">
        <v>46236</v>
      </c>
      <c r="G46" s="2" t="s">
        <v>16</v>
      </c>
      <c r="H46" s="3" t="s">
        <v>102</v>
      </c>
      <c r="I46" s="3" t="s">
        <v>18</v>
      </c>
      <c r="J46" s="4" t="s">
        <v>197</v>
      </c>
      <c r="K46" s="4" t="s">
        <v>303</v>
      </c>
      <c r="L46" s="4" t="str">
        <f>IFERROR(VLOOKUP(A46,[1]Hoja1!$A$2:$D$42,4,FALSE), "Sin Resp.")</f>
        <v>Sin Resp.</v>
      </c>
      <c r="M46" s="2" t="s">
        <v>20</v>
      </c>
      <c r="N46" s="3" t="s">
        <v>198</v>
      </c>
      <c r="O46" s="3" t="s">
        <v>194</v>
      </c>
      <c r="P46" s="12">
        <v>46244</v>
      </c>
      <c r="Q46" s="12">
        <v>46241</v>
      </c>
    </row>
    <row r="47" spans="1:17" x14ac:dyDescent="0.3">
      <c r="A47" s="5">
        <v>38422</v>
      </c>
      <c r="B47" s="5" t="s">
        <v>13</v>
      </c>
      <c r="C47" s="6" t="s">
        <v>14</v>
      </c>
      <c r="D47" s="5" t="s">
        <v>22</v>
      </c>
      <c r="E47" s="5" t="s">
        <v>15</v>
      </c>
      <c r="F47" s="11">
        <v>46236</v>
      </c>
      <c r="G47" s="5" t="s">
        <v>16</v>
      </c>
      <c r="H47" s="6" t="s">
        <v>102</v>
      </c>
      <c r="I47" s="6" t="s">
        <v>18</v>
      </c>
      <c r="J47" s="4" t="s">
        <v>19</v>
      </c>
      <c r="K47" s="4" t="s">
        <v>303</v>
      </c>
      <c r="L47" s="4" t="str">
        <f>IFERROR(VLOOKUP(A47,[1]Hoja1!$A$2:$D$42,4,FALSE), "Sin Resp.")</f>
        <v>Sin Resp.</v>
      </c>
      <c r="M47" s="5" t="s">
        <v>20</v>
      </c>
      <c r="N47" s="6" t="s">
        <v>21</v>
      </c>
      <c r="O47" s="6" t="s">
        <v>194</v>
      </c>
      <c r="P47" s="12">
        <v>46244</v>
      </c>
      <c r="Q47" s="12">
        <v>46241</v>
      </c>
    </row>
    <row r="48" spans="1:17" x14ac:dyDescent="0.3">
      <c r="A48" s="5">
        <v>38529</v>
      </c>
      <c r="B48" s="5" t="s">
        <v>13</v>
      </c>
      <c r="C48" s="6" t="s">
        <v>29</v>
      </c>
      <c r="D48" s="5" t="s">
        <v>22</v>
      </c>
      <c r="E48" s="5" t="s">
        <v>15</v>
      </c>
      <c r="F48" s="11">
        <v>46236</v>
      </c>
      <c r="G48" s="5" t="s">
        <v>16</v>
      </c>
      <c r="H48" s="6" t="s">
        <v>55</v>
      </c>
      <c r="I48" s="6" t="s">
        <v>18</v>
      </c>
      <c r="J48" s="7" t="s">
        <v>122</v>
      </c>
      <c r="K48" s="4" t="s">
        <v>303</v>
      </c>
      <c r="L48" s="4" t="str">
        <f>IFERROR(VLOOKUP(A48,[1]Hoja1!$A$2:$D$42,4,FALSE), "Sin Resp.")</f>
        <v>Sin Resp.</v>
      </c>
      <c r="M48" s="5" t="s">
        <v>20</v>
      </c>
      <c r="N48" s="6" t="s">
        <v>27</v>
      </c>
      <c r="O48" s="6" t="s">
        <v>28</v>
      </c>
      <c r="P48" s="12">
        <v>46244</v>
      </c>
      <c r="Q48" s="12">
        <v>46241</v>
      </c>
    </row>
    <row r="49" spans="1:17" x14ac:dyDescent="0.3">
      <c r="A49" s="5">
        <v>38532</v>
      </c>
      <c r="B49" s="5" t="s">
        <v>46</v>
      </c>
      <c r="C49" s="6" t="s">
        <v>39</v>
      </c>
      <c r="D49" s="5" t="s">
        <v>22</v>
      </c>
      <c r="E49" s="5" t="s">
        <v>15</v>
      </c>
      <c r="F49" s="11">
        <v>46236</v>
      </c>
      <c r="G49" s="5" t="s">
        <v>16</v>
      </c>
      <c r="H49" s="6" t="s">
        <v>116</v>
      </c>
      <c r="I49" s="6" t="s">
        <v>51</v>
      </c>
      <c r="J49" s="7" t="s">
        <v>122</v>
      </c>
      <c r="K49" s="4" t="s">
        <v>303</v>
      </c>
      <c r="L49" s="4" t="str">
        <f>IFERROR(VLOOKUP(A49,[1]Hoja1!$A$2:$D$42,4,FALSE), "Sin Resp.")</f>
        <v>Sin Resp.</v>
      </c>
      <c r="M49" s="5" t="s">
        <v>20</v>
      </c>
      <c r="N49" s="6" t="s">
        <v>27</v>
      </c>
      <c r="O49" s="6" t="s">
        <v>28</v>
      </c>
      <c r="P49" s="12">
        <v>46244</v>
      </c>
      <c r="Q49" s="12">
        <v>46241</v>
      </c>
    </row>
    <row r="50" spans="1:17" ht="28.8" x14ac:dyDescent="0.3">
      <c r="A50" s="15" t="s">
        <v>270</v>
      </c>
      <c r="B50" s="15" t="s">
        <v>246</v>
      </c>
      <c r="C50" s="16" t="s">
        <v>39</v>
      </c>
      <c r="D50" s="15" t="s">
        <v>22</v>
      </c>
      <c r="E50" s="15" t="s">
        <v>15</v>
      </c>
      <c r="F50" s="17">
        <v>46237</v>
      </c>
      <c r="G50" s="18"/>
      <c r="H50" s="16" t="s">
        <v>271</v>
      </c>
      <c r="I50" s="16" t="s">
        <v>272</v>
      </c>
      <c r="J50" s="4" t="s">
        <v>242</v>
      </c>
      <c r="K50" s="4" t="s">
        <v>304</v>
      </c>
      <c r="L50" s="4"/>
      <c r="M50" s="2" t="s">
        <v>243</v>
      </c>
      <c r="N50" s="3" t="s">
        <v>244</v>
      </c>
      <c r="O50" s="20" t="s">
        <v>273</v>
      </c>
      <c r="P50" s="12">
        <v>46244</v>
      </c>
      <c r="Q50" s="23"/>
    </row>
    <row r="51" spans="1:17" x14ac:dyDescent="0.3">
      <c r="A51" s="15">
        <v>38427</v>
      </c>
      <c r="B51" s="15" t="s">
        <v>13</v>
      </c>
      <c r="C51" s="16" t="s">
        <v>39</v>
      </c>
      <c r="D51" s="15" t="s">
        <v>22</v>
      </c>
      <c r="E51" s="15" t="s">
        <v>15</v>
      </c>
      <c r="F51" s="17">
        <v>46237</v>
      </c>
      <c r="G51" s="15" t="s">
        <v>16</v>
      </c>
      <c r="H51" s="16" t="s">
        <v>199</v>
      </c>
      <c r="I51" s="16" t="s">
        <v>51</v>
      </c>
      <c r="J51" s="8" t="s">
        <v>77</v>
      </c>
      <c r="K51" s="4" t="s">
        <v>306</v>
      </c>
      <c r="L51" s="4"/>
      <c r="M51" s="2" t="s">
        <v>26</v>
      </c>
      <c r="N51" s="3" t="s">
        <v>31</v>
      </c>
      <c r="O51" s="20" t="s">
        <v>200</v>
      </c>
      <c r="P51" s="12">
        <v>46244</v>
      </c>
      <c r="Q51" s="23"/>
    </row>
    <row r="52" spans="1:17" x14ac:dyDescent="0.3">
      <c r="A52" s="5">
        <v>38429</v>
      </c>
      <c r="B52" s="5" t="s">
        <v>13</v>
      </c>
      <c r="C52" s="6" t="s">
        <v>39</v>
      </c>
      <c r="D52" s="5" t="s">
        <v>22</v>
      </c>
      <c r="E52" s="5" t="s">
        <v>15</v>
      </c>
      <c r="F52" s="11">
        <v>46237</v>
      </c>
      <c r="G52" s="5" t="s">
        <v>16</v>
      </c>
      <c r="H52" s="6" t="s">
        <v>106</v>
      </c>
      <c r="I52" s="6" t="s">
        <v>107</v>
      </c>
      <c r="J52" s="8" t="s">
        <v>42</v>
      </c>
      <c r="K52" s="4" t="s">
        <v>306</v>
      </c>
      <c r="L52" s="4" t="str">
        <f>IFERROR(VLOOKUP(A52,[1]Hoja1!$A$2:$D$42,4,FALSE), "Sin Resp.")</f>
        <v>Sin Resp.</v>
      </c>
      <c r="M52" s="5" t="s">
        <v>26</v>
      </c>
      <c r="N52" s="6" t="s">
        <v>31</v>
      </c>
      <c r="O52" s="6" t="s">
        <v>123</v>
      </c>
      <c r="P52" s="12">
        <v>46244</v>
      </c>
      <c r="Q52" s="12">
        <v>46241</v>
      </c>
    </row>
    <row r="53" spans="1:17" x14ac:dyDescent="0.3">
      <c r="A53" s="5">
        <v>38429</v>
      </c>
      <c r="B53" s="5" t="s">
        <v>13</v>
      </c>
      <c r="C53" s="6" t="s">
        <v>39</v>
      </c>
      <c r="D53" s="5" t="s">
        <v>22</v>
      </c>
      <c r="E53" s="5" t="s">
        <v>15</v>
      </c>
      <c r="F53" s="11">
        <v>46237</v>
      </c>
      <c r="G53" s="9" t="s">
        <v>16</v>
      </c>
      <c r="H53" s="6" t="s">
        <v>106</v>
      </c>
      <c r="I53" s="6" t="s">
        <v>107</v>
      </c>
      <c r="J53" s="8" t="s">
        <v>42</v>
      </c>
      <c r="K53" s="4" t="s">
        <v>306</v>
      </c>
      <c r="L53" s="4" t="str">
        <f>IFERROR(VLOOKUP(A53,[1]Hoja1!$A$2:$D$42,4,FALSE), "Sin Resp.")</f>
        <v>Sin Resp.</v>
      </c>
      <c r="M53" s="5" t="s">
        <v>26</v>
      </c>
      <c r="N53" s="6" t="s">
        <v>31</v>
      </c>
      <c r="O53" s="6" t="s">
        <v>123</v>
      </c>
      <c r="P53" s="12">
        <v>46244</v>
      </c>
      <c r="Q53" s="12">
        <v>46241</v>
      </c>
    </row>
    <row r="54" spans="1:17" x14ac:dyDescent="0.3">
      <c r="A54" s="5">
        <v>38441</v>
      </c>
      <c r="B54" s="5" t="s">
        <v>13</v>
      </c>
      <c r="C54" s="6" t="s">
        <v>39</v>
      </c>
      <c r="D54" s="5" t="s">
        <v>22</v>
      </c>
      <c r="E54" s="5" t="s">
        <v>15</v>
      </c>
      <c r="F54" s="11">
        <v>46237</v>
      </c>
      <c r="G54" s="5" t="s">
        <v>16</v>
      </c>
      <c r="H54" s="6" t="s">
        <v>103</v>
      </c>
      <c r="I54" s="6" t="s">
        <v>24</v>
      </c>
      <c r="J54" s="8" t="s">
        <v>104</v>
      </c>
      <c r="K54" s="4" t="s">
        <v>306</v>
      </c>
      <c r="L54" s="4" t="str">
        <f>IFERROR(VLOOKUP(A54,[1]Hoja1!$A$2:$D$42,4,FALSE), "Sin Resp.")</f>
        <v>Sin Resp.</v>
      </c>
      <c r="M54" s="5" t="s">
        <v>26</v>
      </c>
      <c r="N54" s="6" t="s">
        <v>31</v>
      </c>
      <c r="O54" s="6" t="s">
        <v>105</v>
      </c>
      <c r="P54" s="12">
        <v>46244</v>
      </c>
      <c r="Q54" s="12">
        <v>46241</v>
      </c>
    </row>
    <row r="55" spans="1:17" x14ac:dyDescent="0.3">
      <c r="A55" s="2">
        <v>38441</v>
      </c>
      <c r="B55" s="2" t="s">
        <v>13</v>
      </c>
      <c r="C55" s="3" t="s">
        <v>39</v>
      </c>
      <c r="D55" s="2" t="s">
        <v>22</v>
      </c>
      <c r="E55" s="2" t="s">
        <v>15</v>
      </c>
      <c r="F55" s="11">
        <v>46237</v>
      </c>
      <c r="G55" s="2" t="s">
        <v>16</v>
      </c>
      <c r="H55" s="3" t="s">
        <v>103</v>
      </c>
      <c r="I55" s="3" t="s">
        <v>24</v>
      </c>
      <c r="J55" s="8" t="s">
        <v>104</v>
      </c>
      <c r="K55" s="4" t="s">
        <v>306</v>
      </c>
      <c r="L55" s="4" t="str">
        <f>IFERROR(VLOOKUP(A55,[1]Hoja1!$A$2:$D$42,4,FALSE), "Sin Resp.")</f>
        <v>Sin Resp.</v>
      </c>
      <c r="M55" s="2" t="s">
        <v>26</v>
      </c>
      <c r="N55" s="3" t="s">
        <v>31</v>
      </c>
      <c r="O55" s="3" t="s">
        <v>105</v>
      </c>
      <c r="P55" s="12">
        <v>46244</v>
      </c>
      <c r="Q55" s="12">
        <v>46241</v>
      </c>
    </row>
    <row r="56" spans="1:17" x14ac:dyDescent="0.3">
      <c r="A56" s="5">
        <v>38448</v>
      </c>
      <c r="B56" s="5" t="s">
        <v>38</v>
      </c>
      <c r="C56" s="6" t="s">
        <v>29</v>
      </c>
      <c r="D56" s="5" t="s">
        <v>22</v>
      </c>
      <c r="E56" s="5" t="s">
        <v>15</v>
      </c>
      <c r="F56" s="11">
        <v>46237</v>
      </c>
      <c r="G56" s="5" t="s">
        <v>16</v>
      </c>
      <c r="H56" s="6" t="s">
        <v>73</v>
      </c>
      <c r="I56" s="6" t="s">
        <v>63</v>
      </c>
      <c r="J56" s="7" t="s">
        <v>74</v>
      </c>
      <c r="K56" s="4" t="s">
        <v>301</v>
      </c>
      <c r="L56" s="4" t="str">
        <f>IFERROR(VLOOKUP(A56,[1]Hoja1!$A$2:$D$42,4,FALSE), "Sin Resp.")</f>
        <v>Sin Resp.</v>
      </c>
      <c r="M56" s="5" t="s">
        <v>26</v>
      </c>
      <c r="N56" s="6" t="s">
        <v>27</v>
      </c>
      <c r="O56" s="6" t="s">
        <v>28</v>
      </c>
      <c r="P56" s="12">
        <v>46244</v>
      </c>
      <c r="Q56" s="12">
        <v>46241</v>
      </c>
    </row>
    <row r="57" spans="1:17" x14ac:dyDescent="0.3">
      <c r="A57" s="5">
        <v>38448</v>
      </c>
      <c r="B57" s="5" t="s">
        <v>38</v>
      </c>
      <c r="C57" s="6" t="s">
        <v>29</v>
      </c>
      <c r="D57" s="5" t="s">
        <v>22</v>
      </c>
      <c r="E57" s="5" t="s">
        <v>15</v>
      </c>
      <c r="F57" s="11">
        <v>46237</v>
      </c>
      <c r="G57" s="5" t="s">
        <v>16</v>
      </c>
      <c r="H57" s="6" t="s">
        <v>73</v>
      </c>
      <c r="I57" s="6" t="s">
        <v>63</v>
      </c>
      <c r="J57" s="7" t="s">
        <v>74</v>
      </c>
      <c r="K57" s="4" t="s">
        <v>301</v>
      </c>
      <c r="L57" s="4" t="str">
        <f>IFERROR(VLOOKUP(A57,[1]Hoja1!$A$2:$D$42,4,FALSE), "Sin Resp.")</f>
        <v>Sin Resp.</v>
      </c>
      <c r="M57" s="5" t="s">
        <v>26</v>
      </c>
      <c r="N57" s="6" t="s">
        <v>27</v>
      </c>
      <c r="O57" s="6" t="s">
        <v>28</v>
      </c>
      <c r="P57" s="12">
        <v>46244</v>
      </c>
      <c r="Q57" s="12">
        <v>46241</v>
      </c>
    </row>
    <row r="58" spans="1:17" x14ac:dyDescent="0.3">
      <c r="A58" s="2">
        <v>38451</v>
      </c>
      <c r="B58" s="2" t="s">
        <v>13</v>
      </c>
      <c r="C58" s="3" t="s">
        <v>29</v>
      </c>
      <c r="D58" s="2" t="s">
        <v>22</v>
      </c>
      <c r="E58" s="2" t="s">
        <v>15</v>
      </c>
      <c r="F58" s="11">
        <v>46237</v>
      </c>
      <c r="G58" s="2" t="s">
        <v>16</v>
      </c>
      <c r="H58" s="3" t="s">
        <v>124</v>
      </c>
      <c r="I58" s="3" t="s">
        <v>56</v>
      </c>
      <c r="J58" s="4" t="s">
        <v>113</v>
      </c>
      <c r="K58" s="4" t="s">
        <v>304</v>
      </c>
      <c r="L58" s="4" t="str">
        <f>IFERROR(VLOOKUP(A58,[1]Hoja1!$A$2:$D$42,4,FALSE), "Sin Resp.")</f>
        <v>Sin Resp.</v>
      </c>
      <c r="M58" s="2" t="s">
        <v>26</v>
      </c>
      <c r="N58" s="3" t="s">
        <v>71</v>
      </c>
      <c r="O58" s="3" t="s">
        <v>125</v>
      </c>
      <c r="P58" s="12">
        <v>46244</v>
      </c>
      <c r="Q58" s="12">
        <v>46241</v>
      </c>
    </row>
    <row r="59" spans="1:17" x14ac:dyDescent="0.3">
      <c r="A59" s="5">
        <v>38451</v>
      </c>
      <c r="B59" s="5" t="s">
        <v>13</v>
      </c>
      <c r="C59" s="6" t="s">
        <v>29</v>
      </c>
      <c r="D59" s="5" t="s">
        <v>22</v>
      </c>
      <c r="E59" s="5" t="s">
        <v>15</v>
      </c>
      <c r="F59" s="11">
        <v>46237</v>
      </c>
      <c r="G59" s="5" t="s">
        <v>16</v>
      </c>
      <c r="H59" s="6" t="s">
        <v>124</v>
      </c>
      <c r="I59" s="6" t="s">
        <v>56</v>
      </c>
      <c r="J59" s="4" t="s">
        <v>113</v>
      </c>
      <c r="K59" s="4" t="s">
        <v>304</v>
      </c>
      <c r="L59" s="4" t="str">
        <f>IFERROR(VLOOKUP(A59,[1]Hoja1!$A$2:$D$42,4,FALSE), "Sin Resp.")</f>
        <v>Sin Resp.</v>
      </c>
      <c r="M59" s="5" t="s">
        <v>20</v>
      </c>
      <c r="N59" s="6" t="s">
        <v>71</v>
      </c>
      <c r="O59" s="6" t="s">
        <v>125</v>
      </c>
      <c r="P59" s="12">
        <v>46244</v>
      </c>
      <c r="Q59" s="12">
        <v>46241</v>
      </c>
    </row>
    <row r="60" spans="1:17" x14ac:dyDescent="0.3">
      <c r="A60" s="2">
        <v>38462</v>
      </c>
      <c r="B60" s="2" t="s">
        <v>46</v>
      </c>
      <c r="C60" s="3" t="s">
        <v>29</v>
      </c>
      <c r="D60" s="2" t="s">
        <v>22</v>
      </c>
      <c r="E60" s="2" t="s">
        <v>15</v>
      </c>
      <c r="F60" s="11">
        <v>46237</v>
      </c>
      <c r="G60" s="2" t="s">
        <v>16</v>
      </c>
      <c r="H60" s="3" t="s">
        <v>90</v>
      </c>
      <c r="I60" s="3" t="s">
        <v>18</v>
      </c>
      <c r="J60" s="4" t="s">
        <v>48</v>
      </c>
      <c r="K60" s="4" t="s">
        <v>304</v>
      </c>
      <c r="L60" s="4" t="str">
        <f>IFERROR(VLOOKUP(A60,[1]Hoja1!$A$2:$D$42,4,FALSE), "Sin Resp.")</f>
        <v>Sin Resp.</v>
      </c>
      <c r="M60" s="2" t="s">
        <v>26</v>
      </c>
      <c r="N60" s="3" t="s">
        <v>49</v>
      </c>
      <c r="O60" s="3" t="s">
        <v>50</v>
      </c>
      <c r="P60" s="12">
        <v>46244</v>
      </c>
      <c r="Q60" s="12">
        <v>46241</v>
      </c>
    </row>
    <row r="61" spans="1:17" x14ac:dyDescent="0.3">
      <c r="A61" s="2">
        <v>38462</v>
      </c>
      <c r="B61" s="2" t="s">
        <v>46</v>
      </c>
      <c r="C61" s="3" t="s">
        <v>29</v>
      </c>
      <c r="D61" s="2" t="s">
        <v>22</v>
      </c>
      <c r="E61" s="2" t="s">
        <v>15</v>
      </c>
      <c r="F61" s="11">
        <v>46237</v>
      </c>
      <c r="G61" s="2" t="s">
        <v>16</v>
      </c>
      <c r="H61" s="3" t="s">
        <v>90</v>
      </c>
      <c r="I61" s="3" t="s">
        <v>18</v>
      </c>
      <c r="J61" s="4" t="s">
        <v>48</v>
      </c>
      <c r="K61" s="4" t="s">
        <v>304</v>
      </c>
      <c r="L61" s="4" t="str">
        <f>IFERROR(VLOOKUP(A61,[1]Hoja1!$A$2:$D$42,4,FALSE), "Sin Resp.")</f>
        <v>Sin Resp.</v>
      </c>
      <c r="M61" s="2" t="s">
        <v>20</v>
      </c>
      <c r="N61" s="3" t="s">
        <v>49</v>
      </c>
      <c r="O61" s="3" t="s">
        <v>50</v>
      </c>
      <c r="P61" s="12">
        <v>46244</v>
      </c>
      <c r="Q61" s="12">
        <v>46241</v>
      </c>
    </row>
    <row r="62" spans="1:17" x14ac:dyDescent="0.3">
      <c r="A62" s="2">
        <v>38463</v>
      </c>
      <c r="B62" s="2" t="s">
        <v>46</v>
      </c>
      <c r="C62" s="3" t="s">
        <v>29</v>
      </c>
      <c r="D62" s="2" t="s">
        <v>22</v>
      </c>
      <c r="E62" s="2" t="s">
        <v>15</v>
      </c>
      <c r="F62" s="11">
        <v>46237</v>
      </c>
      <c r="G62" s="2" t="s">
        <v>16</v>
      </c>
      <c r="H62" s="3" t="s">
        <v>90</v>
      </c>
      <c r="I62" s="3" t="s">
        <v>18</v>
      </c>
      <c r="J62" s="4" t="s">
        <v>52</v>
      </c>
      <c r="K62" s="4" t="s">
        <v>304</v>
      </c>
      <c r="L62" s="4" t="str">
        <f>IFERROR(VLOOKUP(A62,[1]Hoja1!$A$2:$D$42,4,FALSE), "Sin Resp.")</f>
        <v>Sin Resp.</v>
      </c>
      <c r="M62" s="2" t="s">
        <v>26</v>
      </c>
      <c r="N62" s="3" t="s">
        <v>53</v>
      </c>
      <c r="O62" s="3" t="s">
        <v>91</v>
      </c>
      <c r="P62" s="12">
        <v>46244</v>
      </c>
      <c r="Q62" s="12">
        <v>46241</v>
      </c>
    </row>
    <row r="63" spans="1:17" x14ac:dyDescent="0.3">
      <c r="A63" s="5">
        <v>38463</v>
      </c>
      <c r="B63" s="5" t="s">
        <v>46</v>
      </c>
      <c r="C63" s="6" t="s">
        <v>29</v>
      </c>
      <c r="D63" s="5" t="s">
        <v>22</v>
      </c>
      <c r="E63" s="5" t="s">
        <v>15</v>
      </c>
      <c r="F63" s="11">
        <v>46237</v>
      </c>
      <c r="G63" s="5" t="s">
        <v>16</v>
      </c>
      <c r="H63" s="6" t="s">
        <v>90</v>
      </c>
      <c r="I63" s="6" t="s">
        <v>18</v>
      </c>
      <c r="J63" s="4" t="s">
        <v>52</v>
      </c>
      <c r="K63" s="4" t="s">
        <v>304</v>
      </c>
      <c r="L63" s="4" t="str">
        <f>IFERROR(VLOOKUP(A63,[1]Hoja1!$A$2:$D$42,4,FALSE), "Sin Resp.")</f>
        <v>Sin Resp.</v>
      </c>
      <c r="M63" s="5" t="s">
        <v>20</v>
      </c>
      <c r="N63" s="6" t="s">
        <v>53</v>
      </c>
      <c r="O63" s="6" t="s">
        <v>91</v>
      </c>
      <c r="P63" s="12">
        <v>46244</v>
      </c>
      <c r="Q63" s="12">
        <v>46241</v>
      </c>
    </row>
    <row r="64" spans="1:17" x14ac:dyDescent="0.3">
      <c r="A64" s="2">
        <v>38470</v>
      </c>
      <c r="B64" s="2" t="s">
        <v>13</v>
      </c>
      <c r="C64" s="3" t="s">
        <v>14</v>
      </c>
      <c r="D64" s="2" t="s">
        <v>22</v>
      </c>
      <c r="E64" s="2" t="s">
        <v>15</v>
      </c>
      <c r="F64" s="11">
        <v>46237</v>
      </c>
      <c r="G64" s="2" t="s">
        <v>16</v>
      </c>
      <c r="H64" s="3" t="s">
        <v>201</v>
      </c>
      <c r="I64" s="3" t="s">
        <v>93</v>
      </c>
      <c r="J64" s="4" t="s">
        <v>202</v>
      </c>
      <c r="K64" s="4" t="s">
        <v>303</v>
      </c>
      <c r="L64" s="4" t="str">
        <f>IFERROR(VLOOKUP(A64,[1]Hoja1!$A$2:$D$42,4,FALSE), "Sin Resp.")</f>
        <v>Sin Resp.</v>
      </c>
      <c r="M64" s="2" t="s">
        <v>20</v>
      </c>
      <c r="N64" s="3" t="s">
        <v>128</v>
      </c>
      <c r="O64" s="3" t="s">
        <v>203</v>
      </c>
      <c r="P64" s="12">
        <v>46244</v>
      </c>
      <c r="Q64" s="12">
        <v>46241</v>
      </c>
    </row>
    <row r="65" spans="1:18" x14ac:dyDescent="0.3">
      <c r="A65" s="5" t="s">
        <v>274</v>
      </c>
      <c r="B65" s="5" t="s">
        <v>13</v>
      </c>
      <c r="C65" s="6" t="s">
        <v>14</v>
      </c>
      <c r="D65" s="5" t="s">
        <v>22</v>
      </c>
      <c r="E65" s="5" t="s">
        <v>15</v>
      </c>
      <c r="F65" s="11">
        <v>46237</v>
      </c>
      <c r="G65" s="5" t="s">
        <v>16</v>
      </c>
      <c r="H65" s="6" t="s">
        <v>275</v>
      </c>
      <c r="I65" s="6" t="s">
        <v>93</v>
      </c>
      <c r="J65" s="4" t="s">
        <v>242</v>
      </c>
      <c r="K65" s="4" t="s">
        <v>303</v>
      </c>
      <c r="L65" s="4" t="str">
        <f>IFERROR(VLOOKUP(A65,[1]Hoja1!$A$2:$D$42,4,FALSE), "Sin Resp.")</f>
        <v>Sin Resp.</v>
      </c>
      <c r="M65" s="5" t="s">
        <v>243</v>
      </c>
      <c r="N65" s="6" t="s">
        <v>244</v>
      </c>
      <c r="O65" s="6" t="s">
        <v>276</v>
      </c>
      <c r="P65" s="12">
        <v>46244</v>
      </c>
      <c r="Q65" s="12">
        <v>46241</v>
      </c>
    </row>
    <row r="66" spans="1:18" x14ac:dyDescent="0.3">
      <c r="A66" s="5">
        <v>38475</v>
      </c>
      <c r="B66" s="5" t="s">
        <v>46</v>
      </c>
      <c r="C66" s="6" t="s">
        <v>29</v>
      </c>
      <c r="D66" s="5" t="s">
        <v>22</v>
      </c>
      <c r="E66" s="5" t="s">
        <v>15</v>
      </c>
      <c r="F66" s="11">
        <v>46237</v>
      </c>
      <c r="G66" s="5" t="s">
        <v>16</v>
      </c>
      <c r="H66" s="6" t="s">
        <v>47</v>
      </c>
      <c r="I66" s="6" t="s">
        <v>18</v>
      </c>
      <c r="J66" s="4" t="s">
        <v>48</v>
      </c>
      <c r="K66" s="4" t="s">
        <v>303</v>
      </c>
      <c r="L66" s="4" t="str">
        <f>IFERROR(VLOOKUP(A66,[1]Hoja1!$A$2:$D$42,4,FALSE), "Sin Resp.")</f>
        <v>Sin Resp.</v>
      </c>
      <c r="M66" s="5" t="s">
        <v>26</v>
      </c>
      <c r="N66" s="6" t="s">
        <v>49</v>
      </c>
      <c r="O66" s="6" t="s">
        <v>50</v>
      </c>
      <c r="P66" s="12">
        <v>46244</v>
      </c>
      <c r="Q66" s="12">
        <v>46241</v>
      </c>
    </row>
    <row r="67" spans="1:18" x14ac:dyDescent="0.3">
      <c r="A67" s="2">
        <v>38475</v>
      </c>
      <c r="B67" s="2" t="s">
        <v>46</v>
      </c>
      <c r="C67" s="3" t="s">
        <v>29</v>
      </c>
      <c r="D67" s="2" t="s">
        <v>22</v>
      </c>
      <c r="E67" s="2" t="s">
        <v>15</v>
      </c>
      <c r="F67" s="11">
        <v>46237</v>
      </c>
      <c r="G67" s="2" t="s">
        <v>16</v>
      </c>
      <c r="H67" s="3" t="s">
        <v>47</v>
      </c>
      <c r="I67" s="3" t="s">
        <v>18</v>
      </c>
      <c r="J67" s="4" t="s">
        <v>48</v>
      </c>
      <c r="K67" s="4" t="s">
        <v>303</v>
      </c>
      <c r="L67" s="4" t="str">
        <f>IFERROR(VLOOKUP(A67,[1]Hoja1!$A$2:$D$42,4,FALSE), "Sin Resp.")</f>
        <v>Sin Resp.</v>
      </c>
      <c r="M67" s="2" t="s">
        <v>20</v>
      </c>
      <c r="N67" s="3" t="s">
        <v>49</v>
      </c>
      <c r="O67" s="3" t="s">
        <v>50</v>
      </c>
      <c r="P67" s="12">
        <v>46244</v>
      </c>
      <c r="Q67" s="12">
        <v>46241</v>
      </c>
    </row>
    <row r="68" spans="1:18" x14ac:dyDescent="0.3">
      <c r="A68" s="2">
        <v>38476</v>
      </c>
      <c r="B68" s="2" t="s">
        <v>46</v>
      </c>
      <c r="C68" s="3" t="s">
        <v>29</v>
      </c>
      <c r="D68" s="2" t="s">
        <v>22</v>
      </c>
      <c r="E68" s="2" t="s">
        <v>15</v>
      </c>
      <c r="F68" s="11">
        <v>46237</v>
      </c>
      <c r="G68" s="2" t="s">
        <v>16</v>
      </c>
      <c r="H68" s="3" t="s">
        <v>47</v>
      </c>
      <c r="I68" s="3" t="s">
        <v>18</v>
      </c>
      <c r="J68" s="4" t="s">
        <v>52</v>
      </c>
      <c r="K68" s="4" t="s">
        <v>304</v>
      </c>
      <c r="L68" s="4" t="str">
        <f>IFERROR(VLOOKUP(A68,[1]Hoja1!$A$2:$D$42,4,FALSE), "Sin Resp.")</f>
        <v>Sin Resp.</v>
      </c>
      <c r="M68" s="2" t="s">
        <v>26</v>
      </c>
      <c r="N68" s="3" t="s">
        <v>53</v>
      </c>
      <c r="O68" s="3" t="s">
        <v>145</v>
      </c>
      <c r="P68" s="12">
        <v>46244</v>
      </c>
      <c r="Q68" s="12">
        <v>46241</v>
      </c>
    </row>
    <row r="69" spans="1:18" x14ac:dyDescent="0.3">
      <c r="A69" s="5">
        <v>38476</v>
      </c>
      <c r="B69" s="5" t="s">
        <v>46</v>
      </c>
      <c r="C69" s="6" t="s">
        <v>29</v>
      </c>
      <c r="D69" s="5" t="s">
        <v>22</v>
      </c>
      <c r="E69" s="5" t="s">
        <v>15</v>
      </c>
      <c r="F69" s="11">
        <v>46237</v>
      </c>
      <c r="G69" s="5" t="s">
        <v>16</v>
      </c>
      <c r="H69" s="6" t="s">
        <v>47</v>
      </c>
      <c r="I69" s="6" t="s">
        <v>18</v>
      </c>
      <c r="J69" s="4" t="s">
        <v>52</v>
      </c>
      <c r="K69" s="4" t="s">
        <v>304</v>
      </c>
      <c r="L69" s="4" t="str">
        <f>IFERROR(VLOOKUP(A69,[1]Hoja1!$A$2:$D$42,4,FALSE), "Sin Resp.")</f>
        <v>Sin Resp.</v>
      </c>
      <c r="M69" s="5" t="s">
        <v>20</v>
      </c>
      <c r="N69" s="6" t="s">
        <v>53</v>
      </c>
      <c r="O69" s="6" t="s">
        <v>145</v>
      </c>
      <c r="P69" s="12">
        <v>46244</v>
      </c>
      <c r="Q69" s="12">
        <v>46241</v>
      </c>
    </row>
    <row r="70" spans="1:18" x14ac:dyDescent="0.3">
      <c r="A70" s="2">
        <v>38515</v>
      </c>
      <c r="B70" s="2" t="s">
        <v>13</v>
      </c>
      <c r="C70" s="3" t="s">
        <v>14</v>
      </c>
      <c r="D70" s="2" t="s">
        <v>22</v>
      </c>
      <c r="E70" s="2" t="s">
        <v>15</v>
      </c>
      <c r="F70" s="11">
        <v>46237</v>
      </c>
      <c r="G70" s="2" t="s">
        <v>16</v>
      </c>
      <c r="H70" s="3" t="s">
        <v>65</v>
      </c>
      <c r="I70" s="3" t="s">
        <v>51</v>
      </c>
      <c r="J70" s="7" t="s">
        <v>142</v>
      </c>
      <c r="K70" s="4" t="s">
        <v>301</v>
      </c>
      <c r="L70" s="4" t="str">
        <f>IFERROR(VLOOKUP(A70,[1]Hoja1!$A$2:$D$42,4,FALSE), "Sin Resp.")</f>
        <v>Falta Consumo</v>
      </c>
      <c r="M70" s="2" t="s">
        <v>26</v>
      </c>
      <c r="N70" s="3" t="s">
        <v>27</v>
      </c>
      <c r="O70" s="3" t="s">
        <v>28</v>
      </c>
      <c r="P70" s="12">
        <v>46244</v>
      </c>
      <c r="Q70" s="12">
        <v>46241</v>
      </c>
    </row>
    <row r="71" spans="1:18" x14ac:dyDescent="0.3">
      <c r="A71" s="5">
        <v>38515</v>
      </c>
      <c r="B71" s="5" t="s">
        <v>13</v>
      </c>
      <c r="C71" s="6" t="s">
        <v>14</v>
      </c>
      <c r="D71" s="5" t="s">
        <v>22</v>
      </c>
      <c r="E71" s="5" t="s">
        <v>15</v>
      </c>
      <c r="F71" s="11">
        <v>46237</v>
      </c>
      <c r="G71" s="5" t="s">
        <v>16</v>
      </c>
      <c r="H71" s="6" t="s">
        <v>65</v>
      </c>
      <c r="I71" s="6" t="s">
        <v>51</v>
      </c>
      <c r="J71" s="7" t="s">
        <v>142</v>
      </c>
      <c r="K71" s="4" t="s">
        <v>301</v>
      </c>
      <c r="L71" s="4" t="str">
        <f>IFERROR(VLOOKUP(A71,[1]Hoja1!$A$2:$D$42,4,FALSE), "Sin Resp.")</f>
        <v>Falta Consumo</v>
      </c>
      <c r="M71" s="5" t="s">
        <v>20</v>
      </c>
      <c r="N71" s="6" t="s">
        <v>27</v>
      </c>
      <c r="O71" s="6" t="s">
        <v>28</v>
      </c>
      <c r="P71" s="12">
        <v>46244</v>
      </c>
      <c r="Q71" s="12">
        <v>46241</v>
      </c>
    </row>
    <row r="72" spans="1:18" ht="28.8" x14ac:dyDescent="0.3">
      <c r="A72" s="15" t="s">
        <v>277</v>
      </c>
      <c r="B72" s="15" t="s">
        <v>246</v>
      </c>
      <c r="C72" s="16" t="s">
        <v>14</v>
      </c>
      <c r="D72" s="15" t="s">
        <v>22</v>
      </c>
      <c r="E72" s="15" t="s">
        <v>15</v>
      </c>
      <c r="F72" s="17">
        <v>46238</v>
      </c>
      <c r="G72" s="18"/>
      <c r="H72" s="16" t="s">
        <v>247</v>
      </c>
      <c r="I72" s="16" t="s">
        <v>248</v>
      </c>
      <c r="J72" s="4" t="s">
        <v>242</v>
      </c>
      <c r="K72" s="4" t="s">
        <v>304</v>
      </c>
      <c r="L72" s="4"/>
      <c r="M72" s="2" t="s">
        <v>243</v>
      </c>
      <c r="N72" s="3" t="s">
        <v>244</v>
      </c>
      <c r="O72" s="20" t="s">
        <v>278</v>
      </c>
      <c r="P72" s="12">
        <v>46244</v>
      </c>
      <c r="Q72" s="23"/>
    </row>
    <row r="73" spans="1:18" ht="57.6" x14ac:dyDescent="0.3">
      <c r="A73" s="15">
        <v>38524</v>
      </c>
      <c r="B73" s="15" t="s">
        <v>13</v>
      </c>
      <c r="C73" s="16" t="s">
        <v>29</v>
      </c>
      <c r="D73" s="15" t="s">
        <v>22</v>
      </c>
      <c r="E73" s="15" t="s">
        <v>15</v>
      </c>
      <c r="F73" s="17">
        <v>46238</v>
      </c>
      <c r="G73" s="15" t="s">
        <v>16</v>
      </c>
      <c r="H73" s="16" t="s">
        <v>149</v>
      </c>
      <c r="I73" s="16" t="s">
        <v>150</v>
      </c>
      <c r="J73" s="4" t="s">
        <v>151</v>
      </c>
      <c r="K73" s="4" t="s">
        <v>304</v>
      </c>
      <c r="L73" s="4"/>
      <c r="M73" s="2" t="s">
        <v>26</v>
      </c>
      <c r="N73" s="3" t="s">
        <v>152</v>
      </c>
      <c r="O73" s="20" t="s">
        <v>153</v>
      </c>
      <c r="P73" s="12">
        <v>46244</v>
      </c>
      <c r="Q73" s="23"/>
      <c r="R73" t="s">
        <v>309</v>
      </c>
    </row>
    <row r="74" spans="1:18" x14ac:dyDescent="0.3">
      <c r="A74" s="5" t="s">
        <v>279</v>
      </c>
      <c r="B74" s="5" t="s">
        <v>13</v>
      </c>
      <c r="C74" s="6" t="s">
        <v>29</v>
      </c>
      <c r="D74" s="5" t="s">
        <v>22</v>
      </c>
      <c r="E74" s="5" t="s">
        <v>15</v>
      </c>
      <c r="F74" s="11">
        <v>46238</v>
      </c>
      <c r="G74" s="5" t="s">
        <v>16</v>
      </c>
      <c r="H74" s="6" t="s">
        <v>90</v>
      </c>
      <c r="I74" s="6" t="s">
        <v>18</v>
      </c>
      <c r="J74" s="4" t="s">
        <v>242</v>
      </c>
      <c r="K74" s="4" t="s">
        <v>308</v>
      </c>
      <c r="L74" s="4" t="str">
        <f>IFERROR(VLOOKUP(A74,[1]Hoja1!$A$2:$D$42,4,FALSE), "Sin Resp.")</f>
        <v>Sin Resp.</v>
      </c>
      <c r="M74" s="5" t="s">
        <v>243</v>
      </c>
      <c r="N74" s="6" t="s">
        <v>244</v>
      </c>
      <c r="O74" s="6" t="s">
        <v>249</v>
      </c>
      <c r="P74" s="12">
        <v>46244</v>
      </c>
      <c r="Q74" s="12">
        <v>46241</v>
      </c>
    </row>
    <row r="75" spans="1:18" x14ac:dyDescent="0.3">
      <c r="A75" s="2">
        <v>38528</v>
      </c>
      <c r="B75" s="2" t="s">
        <v>13</v>
      </c>
      <c r="C75" s="3" t="s">
        <v>14</v>
      </c>
      <c r="D75" s="2" t="s">
        <v>22</v>
      </c>
      <c r="E75" s="2" t="s">
        <v>15</v>
      </c>
      <c r="F75" s="11">
        <v>46238</v>
      </c>
      <c r="G75" s="2" t="s">
        <v>16</v>
      </c>
      <c r="H75" s="3" t="s">
        <v>87</v>
      </c>
      <c r="I75" s="3" t="s">
        <v>88</v>
      </c>
      <c r="J75" s="4" t="s">
        <v>129</v>
      </c>
      <c r="K75" s="4" t="s">
        <v>304</v>
      </c>
      <c r="L75" s="4" t="str">
        <f>IFERROR(VLOOKUP(A75,[1]Hoja1!$A$2:$D$42,4,FALSE), "Sin Resp.")</f>
        <v>Falta Notificar</v>
      </c>
      <c r="M75" s="2" t="s">
        <v>26</v>
      </c>
      <c r="N75" s="3" t="s">
        <v>130</v>
      </c>
      <c r="O75" s="3" t="s">
        <v>131</v>
      </c>
      <c r="P75" s="12">
        <v>46244</v>
      </c>
      <c r="Q75" s="12">
        <v>46241</v>
      </c>
    </row>
    <row r="76" spans="1:18" x14ac:dyDescent="0.3">
      <c r="A76" s="2">
        <v>38528</v>
      </c>
      <c r="B76" s="2" t="s">
        <v>13</v>
      </c>
      <c r="C76" s="3" t="s">
        <v>14</v>
      </c>
      <c r="D76" s="2" t="s">
        <v>22</v>
      </c>
      <c r="E76" s="2" t="s">
        <v>15</v>
      </c>
      <c r="F76" s="11">
        <v>46238</v>
      </c>
      <c r="G76" s="2" t="s">
        <v>16</v>
      </c>
      <c r="H76" s="3" t="s">
        <v>87</v>
      </c>
      <c r="I76" s="3" t="s">
        <v>88</v>
      </c>
      <c r="J76" s="4" t="s">
        <v>129</v>
      </c>
      <c r="K76" s="4" t="s">
        <v>304</v>
      </c>
      <c r="L76" s="4" t="str">
        <f>IFERROR(VLOOKUP(A76,[1]Hoja1!$A$2:$D$42,4,FALSE), "Sin Resp.")</f>
        <v>Falta Notificar</v>
      </c>
      <c r="M76" s="2" t="s">
        <v>20</v>
      </c>
      <c r="N76" s="3" t="s">
        <v>130</v>
      </c>
      <c r="O76" s="3" t="s">
        <v>131</v>
      </c>
      <c r="P76" s="12">
        <v>46244</v>
      </c>
      <c r="Q76" s="12">
        <v>46241</v>
      </c>
    </row>
    <row r="77" spans="1:18" ht="28.8" x14ac:dyDescent="0.3">
      <c r="A77" s="15" t="s">
        <v>280</v>
      </c>
      <c r="B77" s="15" t="s">
        <v>13</v>
      </c>
      <c r="C77" s="16" t="s">
        <v>14</v>
      </c>
      <c r="D77" s="15" t="s">
        <v>22</v>
      </c>
      <c r="E77" s="15" t="s">
        <v>15</v>
      </c>
      <c r="F77" s="17">
        <v>46238</v>
      </c>
      <c r="G77" s="15" t="s">
        <v>16</v>
      </c>
      <c r="H77" s="16" t="s">
        <v>87</v>
      </c>
      <c r="I77" s="16" t="s">
        <v>88</v>
      </c>
      <c r="J77" s="4" t="s">
        <v>242</v>
      </c>
      <c r="K77" s="24" t="s">
        <v>304</v>
      </c>
      <c r="L77" s="4"/>
      <c r="M77" s="2" t="s">
        <v>243</v>
      </c>
      <c r="N77" s="3" t="s">
        <v>244</v>
      </c>
      <c r="O77" s="20" t="s">
        <v>281</v>
      </c>
      <c r="P77" s="12">
        <v>46244</v>
      </c>
      <c r="Q77" s="12"/>
      <c r="R77" t="s">
        <v>309</v>
      </c>
    </row>
    <row r="78" spans="1:18" x14ac:dyDescent="0.3">
      <c r="A78" s="5">
        <v>38531</v>
      </c>
      <c r="B78" s="5" t="s">
        <v>46</v>
      </c>
      <c r="C78" s="6" t="s">
        <v>39</v>
      </c>
      <c r="D78" s="5" t="s">
        <v>22</v>
      </c>
      <c r="E78" s="5" t="s">
        <v>15</v>
      </c>
      <c r="F78" s="11">
        <v>46238</v>
      </c>
      <c r="G78" s="5" t="s">
        <v>16</v>
      </c>
      <c r="H78" s="6" t="s">
        <v>116</v>
      </c>
      <c r="I78" s="6" t="s">
        <v>51</v>
      </c>
      <c r="J78" s="8" t="s">
        <v>48</v>
      </c>
      <c r="K78" s="4" t="s">
        <v>306</v>
      </c>
      <c r="L78" s="4" t="str">
        <f>IFERROR(VLOOKUP(A78,[1]Hoja1!$A$2:$D$42,4,FALSE), "Sin Resp.")</f>
        <v>Sin Resp.</v>
      </c>
      <c r="M78" s="5" t="s">
        <v>26</v>
      </c>
      <c r="N78" s="6" t="s">
        <v>31</v>
      </c>
      <c r="O78" s="6" t="s">
        <v>117</v>
      </c>
      <c r="P78" s="12">
        <v>46244</v>
      </c>
      <c r="Q78" s="12">
        <v>46241</v>
      </c>
    </row>
    <row r="79" spans="1:18" x14ac:dyDescent="0.3">
      <c r="A79" s="2">
        <v>38531</v>
      </c>
      <c r="B79" s="2" t="s">
        <v>46</v>
      </c>
      <c r="C79" s="3" t="s">
        <v>39</v>
      </c>
      <c r="D79" s="2" t="s">
        <v>22</v>
      </c>
      <c r="E79" s="2" t="s">
        <v>15</v>
      </c>
      <c r="F79" s="11">
        <v>46238</v>
      </c>
      <c r="G79" s="2" t="s">
        <v>16</v>
      </c>
      <c r="H79" s="3" t="s">
        <v>116</v>
      </c>
      <c r="I79" s="3" t="s">
        <v>51</v>
      </c>
      <c r="J79" s="8" t="s">
        <v>48</v>
      </c>
      <c r="K79" s="4" t="s">
        <v>306</v>
      </c>
      <c r="L79" s="4" t="str">
        <f>IFERROR(VLOOKUP(A79,[1]Hoja1!$A$2:$D$42,4,FALSE), "Sin Resp.")</f>
        <v>Sin Resp.</v>
      </c>
      <c r="M79" s="2" t="s">
        <v>26</v>
      </c>
      <c r="N79" s="3" t="s">
        <v>31</v>
      </c>
      <c r="O79" s="3" t="s">
        <v>117</v>
      </c>
      <c r="P79" s="12">
        <v>46244</v>
      </c>
      <c r="Q79" s="12">
        <v>46241</v>
      </c>
    </row>
    <row r="80" spans="1:18" x14ac:dyDescent="0.3">
      <c r="A80" s="2">
        <v>38534</v>
      </c>
      <c r="B80" s="2" t="s">
        <v>13</v>
      </c>
      <c r="C80" s="3" t="s">
        <v>39</v>
      </c>
      <c r="D80" s="2" t="s">
        <v>22</v>
      </c>
      <c r="E80" s="2" t="s">
        <v>15</v>
      </c>
      <c r="F80" s="11">
        <v>46238</v>
      </c>
      <c r="G80" s="2" t="s">
        <v>16</v>
      </c>
      <c r="H80" s="3" t="s">
        <v>43</v>
      </c>
      <c r="I80" s="3" t="s">
        <v>44</v>
      </c>
      <c r="J80" s="7" t="s">
        <v>45</v>
      </c>
      <c r="K80" s="4" t="s">
        <v>301</v>
      </c>
      <c r="L80" s="4" t="str">
        <f>IFERROR(VLOOKUP(A80,[1]Hoja1!$A$2:$D$42,4,FALSE), "Sin Resp.")</f>
        <v>Sin Resp.</v>
      </c>
      <c r="M80" s="2" t="s">
        <v>26</v>
      </c>
      <c r="N80" s="3" t="s">
        <v>27</v>
      </c>
      <c r="O80" s="3" t="s">
        <v>28</v>
      </c>
      <c r="P80" s="12">
        <v>46244</v>
      </c>
      <c r="Q80" s="12">
        <v>46241</v>
      </c>
    </row>
    <row r="81" spans="1:17" x14ac:dyDescent="0.3">
      <c r="A81" s="2">
        <v>38534</v>
      </c>
      <c r="B81" s="2" t="s">
        <v>13</v>
      </c>
      <c r="C81" s="3" t="s">
        <v>39</v>
      </c>
      <c r="D81" s="2" t="s">
        <v>22</v>
      </c>
      <c r="E81" s="2" t="s">
        <v>15</v>
      </c>
      <c r="F81" s="11">
        <v>46238</v>
      </c>
      <c r="G81" s="2" t="s">
        <v>16</v>
      </c>
      <c r="H81" s="3" t="s">
        <v>43</v>
      </c>
      <c r="I81" s="3" t="s">
        <v>44</v>
      </c>
      <c r="J81" s="7" t="s">
        <v>45</v>
      </c>
      <c r="K81" s="4" t="s">
        <v>301</v>
      </c>
      <c r="L81" s="4" t="str">
        <f>IFERROR(VLOOKUP(A81,[1]Hoja1!$A$2:$D$42,4,FALSE), "Sin Resp.")</f>
        <v>Sin Resp.</v>
      </c>
      <c r="M81" s="2" t="s">
        <v>26</v>
      </c>
      <c r="N81" s="3" t="s">
        <v>27</v>
      </c>
      <c r="O81" s="3" t="s">
        <v>28</v>
      </c>
      <c r="P81" s="12">
        <v>46244</v>
      </c>
      <c r="Q81" s="12">
        <v>46241</v>
      </c>
    </row>
    <row r="82" spans="1:17" x14ac:dyDescent="0.3">
      <c r="A82" s="5">
        <v>38538</v>
      </c>
      <c r="B82" s="5" t="s">
        <v>13</v>
      </c>
      <c r="C82" s="6" t="s">
        <v>14</v>
      </c>
      <c r="D82" s="5" t="s">
        <v>22</v>
      </c>
      <c r="E82" s="5" t="s">
        <v>15</v>
      </c>
      <c r="F82" s="11">
        <v>46238</v>
      </c>
      <c r="G82" s="5" t="s">
        <v>16</v>
      </c>
      <c r="H82" s="6" t="s">
        <v>204</v>
      </c>
      <c r="I82" s="6" t="s">
        <v>25</v>
      </c>
      <c r="J82" s="8" t="s">
        <v>19</v>
      </c>
      <c r="K82" s="4" t="s">
        <v>306</v>
      </c>
      <c r="L82" s="4" t="str">
        <f>IFERROR(VLOOKUP(A82,[1]Hoja1!$A$2:$D$42,4,FALSE), "Sin Resp.")</f>
        <v>Sin Resp.</v>
      </c>
      <c r="M82" s="5" t="s">
        <v>20</v>
      </c>
      <c r="N82" s="6" t="s">
        <v>31</v>
      </c>
      <c r="O82" s="6" t="s">
        <v>205</v>
      </c>
      <c r="P82" s="12">
        <v>46244</v>
      </c>
      <c r="Q82" s="12">
        <v>46241</v>
      </c>
    </row>
    <row r="83" spans="1:17" x14ac:dyDescent="0.3">
      <c r="A83" s="2">
        <v>38540</v>
      </c>
      <c r="B83" s="2" t="s">
        <v>13</v>
      </c>
      <c r="C83" s="3" t="s">
        <v>14</v>
      </c>
      <c r="D83" s="2" t="s">
        <v>22</v>
      </c>
      <c r="E83" s="2" t="s">
        <v>15</v>
      </c>
      <c r="F83" s="11">
        <v>46238</v>
      </c>
      <c r="G83" s="2" t="s">
        <v>16</v>
      </c>
      <c r="H83" s="3" t="s">
        <v>118</v>
      </c>
      <c r="I83" s="3" t="s">
        <v>63</v>
      </c>
      <c r="J83" s="8" t="s">
        <v>19</v>
      </c>
      <c r="K83" s="4" t="s">
        <v>306</v>
      </c>
      <c r="L83" s="4" t="str">
        <f>IFERROR(VLOOKUP(A83,[1]Hoja1!$A$2:$D$42,4,FALSE), "Sin Resp.")</f>
        <v>Sin Resp.</v>
      </c>
      <c r="M83" s="2" t="s">
        <v>20</v>
      </c>
      <c r="N83" s="3" t="s">
        <v>31</v>
      </c>
      <c r="O83" s="3" t="s">
        <v>206</v>
      </c>
      <c r="P83" s="12">
        <v>46244</v>
      </c>
      <c r="Q83" s="12">
        <v>46241</v>
      </c>
    </row>
    <row r="84" spans="1:17" x14ac:dyDescent="0.3">
      <c r="A84" s="5">
        <v>38541</v>
      </c>
      <c r="B84" s="5" t="s">
        <v>13</v>
      </c>
      <c r="C84" s="6" t="s">
        <v>29</v>
      </c>
      <c r="D84" s="5" t="s">
        <v>22</v>
      </c>
      <c r="E84" s="5" t="s">
        <v>15</v>
      </c>
      <c r="F84" s="11">
        <v>46238</v>
      </c>
      <c r="G84" s="5" t="s">
        <v>16</v>
      </c>
      <c r="H84" s="6" t="s">
        <v>132</v>
      </c>
      <c r="I84" s="6" t="s">
        <v>51</v>
      </c>
      <c r="J84" s="8" t="s">
        <v>133</v>
      </c>
      <c r="K84" s="4" t="s">
        <v>306</v>
      </c>
      <c r="L84" s="4" t="str">
        <f>IFERROR(VLOOKUP(A84,[1]Hoja1!$A$2:$D$42,4,FALSE), "Sin Resp.")</f>
        <v>Sin Resp.</v>
      </c>
      <c r="M84" s="5" t="s">
        <v>26</v>
      </c>
      <c r="N84" s="6" t="s">
        <v>31</v>
      </c>
      <c r="O84" s="6" t="s">
        <v>134</v>
      </c>
      <c r="P84" s="12">
        <v>46244</v>
      </c>
      <c r="Q84" s="12">
        <v>46241</v>
      </c>
    </row>
    <row r="85" spans="1:17" x14ac:dyDescent="0.3">
      <c r="A85" s="2">
        <v>38541</v>
      </c>
      <c r="B85" s="2" t="s">
        <v>13</v>
      </c>
      <c r="C85" s="3" t="s">
        <v>29</v>
      </c>
      <c r="D85" s="2" t="s">
        <v>22</v>
      </c>
      <c r="E85" s="2" t="s">
        <v>15</v>
      </c>
      <c r="F85" s="11">
        <v>46238</v>
      </c>
      <c r="G85" s="2" t="s">
        <v>16</v>
      </c>
      <c r="H85" s="3" t="s">
        <v>132</v>
      </c>
      <c r="I85" s="3" t="s">
        <v>51</v>
      </c>
      <c r="J85" s="8" t="s">
        <v>30</v>
      </c>
      <c r="K85" s="4" t="s">
        <v>306</v>
      </c>
      <c r="L85" s="4" t="str">
        <f>IFERROR(VLOOKUP(A85,[1]Hoja1!$A$2:$D$42,4,FALSE), "Sin Resp.")</f>
        <v>Sin Resp.</v>
      </c>
      <c r="M85" s="2" t="s">
        <v>26</v>
      </c>
      <c r="N85" s="3" t="s">
        <v>31</v>
      </c>
      <c r="O85" s="3" t="s">
        <v>134</v>
      </c>
      <c r="P85" s="12">
        <v>46244</v>
      </c>
      <c r="Q85" s="12">
        <v>46241</v>
      </c>
    </row>
    <row r="86" spans="1:17" x14ac:dyDescent="0.3">
      <c r="A86" s="5">
        <v>38541</v>
      </c>
      <c r="B86" s="5" t="s">
        <v>13</v>
      </c>
      <c r="C86" s="6" t="s">
        <v>29</v>
      </c>
      <c r="D86" s="5" t="s">
        <v>22</v>
      </c>
      <c r="E86" s="5" t="s">
        <v>15</v>
      </c>
      <c r="F86" s="11">
        <v>46238</v>
      </c>
      <c r="G86" s="5" t="s">
        <v>16</v>
      </c>
      <c r="H86" s="6" t="s">
        <v>132</v>
      </c>
      <c r="I86" s="6" t="s">
        <v>51</v>
      </c>
      <c r="J86" s="8" t="s">
        <v>133</v>
      </c>
      <c r="K86" s="4" t="s">
        <v>306</v>
      </c>
      <c r="L86" s="4" t="str">
        <f>IFERROR(VLOOKUP(A86,[1]Hoja1!$A$2:$D$42,4,FALSE), "Sin Resp.")</f>
        <v>Sin Resp.</v>
      </c>
      <c r="M86" s="5" t="s">
        <v>20</v>
      </c>
      <c r="N86" s="6" t="s">
        <v>31</v>
      </c>
      <c r="O86" s="6" t="s">
        <v>134</v>
      </c>
      <c r="P86" s="12">
        <v>46244</v>
      </c>
      <c r="Q86" s="12">
        <v>46241</v>
      </c>
    </row>
    <row r="87" spans="1:17" x14ac:dyDescent="0.3">
      <c r="A87" s="2">
        <v>38541</v>
      </c>
      <c r="B87" s="2" t="s">
        <v>13</v>
      </c>
      <c r="C87" s="3" t="s">
        <v>29</v>
      </c>
      <c r="D87" s="2" t="s">
        <v>22</v>
      </c>
      <c r="E87" s="2" t="s">
        <v>15</v>
      </c>
      <c r="F87" s="11">
        <v>46238</v>
      </c>
      <c r="G87" s="2" t="s">
        <v>16</v>
      </c>
      <c r="H87" s="3" t="s">
        <v>132</v>
      </c>
      <c r="I87" s="3" t="s">
        <v>51</v>
      </c>
      <c r="J87" s="8" t="s">
        <v>30</v>
      </c>
      <c r="K87" s="4" t="s">
        <v>306</v>
      </c>
      <c r="L87" s="4" t="str">
        <f>IFERROR(VLOOKUP(A87,[1]Hoja1!$A$2:$D$42,4,FALSE), "Sin Resp.")</f>
        <v>Sin Resp.</v>
      </c>
      <c r="M87" s="2" t="s">
        <v>20</v>
      </c>
      <c r="N87" s="3" t="s">
        <v>31</v>
      </c>
      <c r="O87" s="3" t="s">
        <v>134</v>
      </c>
      <c r="P87" s="12">
        <v>46244</v>
      </c>
      <c r="Q87" s="12">
        <v>46241</v>
      </c>
    </row>
    <row r="88" spans="1:17" x14ac:dyDescent="0.3">
      <c r="A88" s="5">
        <v>38562</v>
      </c>
      <c r="B88" s="5" t="s">
        <v>13</v>
      </c>
      <c r="C88" s="6" t="s">
        <v>14</v>
      </c>
      <c r="D88" s="5" t="s">
        <v>22</v>
      </c>
      <c r="E88" s="5" t="s">
        <v>15</v>
      </c>
      <c r="F88" s="11">
        <v>46238</v>
      </c>
      <c r="G88" s="5" t="s">
        <v>16</v>
      </c>
      <c r="H88" s="6" t="s">
        <v>83</v>
      </c>
      <c r="I88" s="6" t="s">
        <v>37</v>
      </c>
      <c r="J88" s="8" t="s">
        <v>207</v>
      </c>
      <c r="K88" s="4" t="s">
        <v>306</v>
      </c>
      <c r="L88" s="4" t="str">
        <f>IFERROR(VLOOKUP(A88,[1]Hoja1!$A$2:$D$42,4,FALSE), "Sin Resp.")</f>
        <v>Falta Consumo</v>
      </c>
      <c r="M88" s="5" t="s">
        <v>20</v>
      </c>
      <c r="N88" s="6" t="s">
        <v>31</v>
      </c>
      <c r="O88" s="6" t="s">
        <v>208</v>
      </c>
      <c r="P88" s="12">
        <v>46244</v>
      </c>
      <c r="Q88" s="12">
        <v>46241</v>
      </c>
    </row>
    <row r="89" spans="1:17" x14ac:dyDescent="0.3">
      <c r="A89" s="2">
        <v>38564</v>
      </c>
      <c r="B89" s="2" t="s">
        <v>13</v>
      </c>
      <c r="C89" s="3" t="s">
        <v>14</v>
      </c>
      <c r="D89" s="2" t="s">
        <v>22</v>
      </c>
      <c r="E89" s="2" t="s">
        <v>15</v>
      </c>
      <c r="F89" s="11">
        <v>46238</v>
      </c>
      <c r="G89" s="2" t="s">
        <v>16</v>
      </c>
      <c r="H89" s="3" t="s">
        <v>85</v>
      </c>
      <c r="I89" s="3" t="s">
        <v>37</v>
      </c>
      <c r="J89" s="8" t="s">
        <v>209</v>
      </c>
      <c r="K89" s="4" t="s">
        <v>306</v>
      </c>
      <c r="L89" s="4" t="str">
        <f>IFERROR(VLOOKUP(A89,[1]Hoja1!$A$2:$D$42,4,FALSE), "Sin Resp.")</f>
        <v>Falta Consumo</v>
      </c>
      <c r="M89" s="2" t="s">
        <v>20</v>
      </c>
      <c r="N89" s="3" t="s">
        <v>31</v>
      </c>
      <c r="O89" s="3" t="s">
        <v>210</v>
      </c>
      <c r="P89" s="12">
        <v>46244</v>
      </c>
      <c r="Q89" s="12">
        <v>46241</v>
      </c>
    </row>
    <row r="90" spans="1:17" x14ac:dyDescent="0.3">
      <c r="A90" s="5">
        <v>38564</v>
      </c>
      <c r="B90" s="5" t="s">
        <v>13</v>
      </c>
      <c r="C90" s="6" t="s">
        <v>14</v>
      </c>
      <c r="D90" s="5" t="s">
        <v>22</v>
      </c>
      <c r="E90" s="5" t="s">
        <v>15</v>
      </c>
      <c r="F90" s="11">
        <v>46238</v>
      </c>
      <c r="G90" s="9" t="s">
        <v>16</v>
      </c>
      <c r="H90" s="6" t="s">
        <v>85</v>
      </c>
      <c r="I90" s="6" t="s">
        <v>37</v>
      </c>
      <c r="J90" s="8" t="s">
        <v>211</v>
      </c>
      <c r="K90" s="4" t="s">
        <v>306</v>
      </c>
      <c r="L90" s="4" t="str">
        <f>IFERROR(VLOOKUP(A90,[1]Hoja1!$A$2:$D$42,4,FALSE), "Sin Resp.")</f>
        <v>Falta Consumo</v>
      </c>
      <c r="M90" s="5" t="s">
        <v>20</v>
      </c>
      <c r="N90" s="6" t="s">
        <v>31</v>
      </c>
      <c r="O90" s="6" t="s">
        <v>210</v>
      </c>
      <c r="P90" s="12">
        <v>46244</v>
      </c>
      <c r="Q90" s="12">
        <v>46241</v>
      </c>
    </row>
    <row r="91" spans="1:17" x14ac:dyDescent="0.3">
      <c r="A91" s="2">
        <v>38564</v>
      </c>
      <c r="B91" s="2" t="s">
        <v>13</v>
      </c>
      <c r="C91" s="3" t="s">
        <v>14</v>
      </c>
      <c r="D91" s="2" t="s">
        <v>22</v>
      </c>
      <c r="E91" s="2" t="s">
        <v>15</v>
      </c>
      <c r="F91" s="11">
        <v>46238</v>
      </c>
      <c r="G91" s="2" t="s">
        <v>16</v>
      </c>
      <c r="H91" s="3" t="s">
        <v>85</v>
      </c>
      <c r="I91" s="3" t="s">
        <v>37</v>
      </c>
      <c r="J91" s="8" t="s">
        <v>212</v>
      </c>
      <c r="K91" s="4" t="s">
        <v>306</v>
      </c>
      <c r="L91" s="4" t="str">
        <f>IFERROR(VLOOKUP(A91,[1]Hoja1!$A$2:$D$42,4,FALSE), "Sin Resp.")</f>
        <v>Falta Consumo</v>
      </c>
      <c r="M91" s="2" t="s">
        <v>20</v>
      </c>
      <c r="N91" s="3" t="s">
        <v>31</v>
      </c>
      <c r="O91" s="3" t="s">
        <v>210</v>
      </c>
      <c r="P91" s="12">
        <v>46244</v>
      </c>
      <c r="Q91" s="12">
        <v>46241</v>
      </c>
    </row>
    <row r="92" spans="1:17" x14ac:dyDescent="0.3">
      <c r="A92" s="5" t="s">
        <v>282</v>
      </c>
      <c r="B92" s="5" t="s">
        <v>13</v>
      </c>
      <c r="C92" s="6" t="s">
        <v>29</v>
      </c>
      <c r="D92" s="5" t="s">
        <v>22</v>
      </c>
      <c r="E92" s="5" t="s">
        <v>15</v>
      </c>
      <c r="F92" s="11">
        <v>46239</v>
      </c>
      <c r="G92" s="5" t="s">
        <v>16</v>
      </c>
      <c r="H92" s="6" t="s">
        <v>33</v>
      </c>
      <c r="I92" s="6" t="s">
        <v>34</v>
      </c>
      <c r="J92" s="4" t="s">
        <v>242</v>
      </c>
      <c r="K92" s="4" t="s">
        <v>304</v>
      </c>
      <c r="L92" s="4" t="str">
        <f>IFERROR(VLOOKUP(A92,[1]Hoja1!$A$2:$D$42,4,FALSE), "Sin Resp.")</f>
        <v>Sin Resp.</v>
      </c>
      <c r="M92" s="5" t="s">
        <v>243</v>
      </c>
      <c r="N92" s="6" t="s">
        <v>244</v>
      </c>
      <c r="O92" s="6" t="s">
        <v>283</v>
      </c>
      <c r="P92" s="12">
        <v>46244</v>
      </c>
      <c r="Q92" s="12">
        <v>46241</v>
      </c>
    </row>
    <row r="93" spans="1:17" x14ac:dyDescent="0.3">
      <c r="A93" s="5">
        <v>38556</v>
      </c>
      <c r="B93" s="5" t="s">
        <v>13</v>
      </c>
      <c r="C93" s="6" t="s">
        <v>29</v>
      </c>
      <c r="D93" s="5" t="s">
        <v>22</v>
      </c>
      <c r="E93" s="5" t="s">
        <v>15</v>
      </c>
      <c r="F93" s="11">
        <v>46239</v>
      </c>
      <c r="G93" s="5" t="s">
        <v>16</v>
      </c>
      <c r="H93" s="6" t="s">
        <v>62</v>
      </c>
      <c r="I93" s="6" t="s">
        <v>63</v>
      </c>
      <c r="J93" s="4" t="s">
        <v>147</v>
      </c>
      <c r="K93" s="4" t="s">
        <v>304</v>
      </c>
      <c r="L93" s="4" t="str">
        <f>IFERROR(VLOOKUP(A93,[1]Hoja1!$A$2:$D$42,4,FALSE), "Sin Resp.")</f>
        <v>Sin Resp.</v>
      </c>
      <c r="M93" s="5" t="s">
        <v>26</v>
      </c>
      <c r="N93" s="6" t="s">
        <v>112</v>
      </c>
      <c r="O93" s="6" t="s">
        <v>148</v>
      </c>
      <c r="P93" s="12">
        <v>46244</v>
      </c>
      <c r="Q93" s="12">
        <v>46241</v>
      </c>
    </row>
    <row r="94" spans="1:17" x14ac:dyDescent="0.3">
      <c r="A94" s="5">
        <v>38556</v>
      </c>
      <c r="B94" s="5" t="s">
        <v>13</v>
      </c>
      <c r="C94" s="6" t="s">
        <v>29</v>
      </c>
      <c r="D94" s="5" t="s">
        <v>22</v>
      </c>
      <c r="E94" s="5" t="s">
        <v>15</v>
      </c>
      <c r="F94" s="11">
        <v>46239</v>
      </c>
      <c r="G94" s="5" t="s">
        <v>16</v>
      </c>
      <c r="H94" s="6" t="s">
        <v>62</v>
      </c>
      <c r="I94" s="6" t="s">
        <v>63</v>
      </c>
      <c r="J94" s="4" t="s">
        <v>147</v>
      </c>
      <c r="K94" s="4" t="s">
        <v>304</v>
      </c>
      <c r="L94" s="4" t="str">
        <f>IFERROR(VLOOKUP(A94,[1]Hoja1!$A$2:$D$42,4,FALSE), "Sin Resp.")</f>
        <v>Sin Resp.</v>
      </c>
      <c r="M94" s="5" t="s">
        <v>20</v>
      </c>
      <c r="N94" s="6" t="s">
        <v>112</v>
      </c>
      <c r="O94" s="6" t="s">
        <v>148</v>
      </c>
      <c r="P94" s="12">
        <v>46244</v>
      </c>
      <c r="Q94" s="12">
        <v>46241</v>
      </c>
    </row>
    <row r="95" spans="1:17" x14ac:dyDescent="0.3">
      <c r="A95" s="2" t="s">
        <v>284</v>
      </c>
      <c r="B95" s="2" t="s">
        <v>13</v>
      </c>
      <c r="C95" s="3" t="s">
        <v>29</v>
      </c>
      <c r="D95" s="2" t="s">
        <v>22</v>
      </c>
      <c r="E95" s="2" t="s">
        <v>15</v>
      </c>
      <c r="F95" s="11">
        <v>46239</v>
      </c>
      <c r="G95" s="2" t="s">
        <v>16</v>
      </c>
      <c r="H95" s="3" t="s">
        <v>62</v>
      </c>
      <c r="I95" s="3" t="s">
        <v>63</v>
      </c>
      <c r="J95" s="4" t="s">
        <v>242</v>
      </c>
      <c r="K95" s="4" t="s">
        <v>309</v>
      </c>
      <c r="L95" s="4" t="str">
        <f>IFERROR(VLOOKUP(A95,[1]Hoja1!$A$2:$D$42,4,FALSE), "Sin Resp.")</f>
        <v>Sin Resp.</v>
      </c>
      <c r="M95" s="2" t="s">
        <v>243</v>
      </c>
      <c r="N95" s="3" t="s">
        <v>244</v>
      </c>
      <c r="O95" s="3" t="s">
        <v>285</v>
      </c>
      <c r="P95" s="12">
        <v>46244</v>
      </c>
      <c r="Q95" s="12">
        <v>46241</v>
      </c>
    </row>
    <row r="96" spans="1:17" x14ac:dyDescent="0.3">
      <c r="A96" s="5" t="s">
        <v>284</v>
      </c>
      <c r="B96" s="5" t="s">
        <v>13</v>
      </c>
      <c r="C96" s="6" t="s">
        <v>29</v>
      </c>
      <c r="D96" s="5" t="s">
        <v>22</v>
      </c>
      <c r="E96" s="5" t="s">
        <v>15</v>
      </c>
      <c r="F96" s="11">
        <v>46239</v>
      </c>
      <c r="G96" s="9" t="s">
        <v>16</v>
      </c>
      <c r="H96" s="6" t="s">
        <v>62</v>
      </c>
      <c r="I96" s="6" t="s">
        <v>63</v>
      </c>
      <c r="J96" s="4" t="s">
        <v>242</v>
      </c>
      <c r="K96" s="4" t="s">
        <v>309</v>
      </c>
      <c r="L96" s="4" t="str">
        <f>IFERROR(VLOOKUP(A96,[1]Hoja1!$A$2:$D$42,4,FALSE), "Sin Resp.")</f>
        <v>Sin Resp.</v>
      </c>
      <c r="M96" s="5" t="s">
        <v>243</v>
      </c>
      <c r="N96" s="6" t="s">
        <v>244</v>
      </c>
      <c r="O96" s="6" t="s">
        <v>286</v>
      </c>
      <c r="P96" s="12">
        <v>46244</v>
      </c>
      <c r="Q96" s="12">
        <v>46241</v>
      </c>
    </row>
    <row r="97" spans="1:18" x14ac:dyDescent="0.3">
      <c r="A97" s="2" t="s">
        <v>287</v>
      </c>
      <c r="B97" s="2" t="s">
        <v>13</v>
      </c>
      <c r="C97" s="3" t="s">
        <v>39</v>
      </c>
      <c r="D97" s="2" t="s">
        <v>22</v>
      </c>
      <c r="E97" s="2" t="s">
        <v>15</v>
      </c>
      <c r="F97" s="11">
        <v>46239</v>
      </c>
      <c r="G97" s="2" t="s">
        <v>16</v>
      </c>
      <c r="H97" s="3" t="s">
        <v>288</v>
      </c>
      <c r="I97" s="3" t="s">
        <v>51</v>
      </c>
      <c r="J97" s="4" t="s">
        <v>242</v>
      </c>
      <c r="K97" s="4" t="s">
        <v>308</v>
      </c>
      <c r="L97" s="4" t="str">
        <f>IFERROR(VLOOKUP(A97,[1]Hoja1!$A$2:$D$42,4,FALSE), "Sin Resp.")</f>
        <v>Sin Resp.</v>
      </c>
      <c r="M97" s="2" t="s">
        <v>243</v>
      </c>
      <c r="N97" s="3" t="s">
        <v>244</v>
      </c>
      <c r="O97" s="3" t="s">
        <v>289</v>
      </c>
      <c r="P97" s="12">
        <v>46244</v>
      </c>
      <c r="Q97" s="12">
        <v>46241</v>
      </c>
    </row>
    <row r="98" spans="1:18" x14ac:dyDescent="0.3">
      <c r="A98" s="2">
        <v>38559</v>
      </c>
      <c r="B98" s="2" t="s">
        <v>13</v>
      </c>
      <c r="C98" s="3" t="s">
        <v>14</v>
      </c>
      <c r="D98" s="2" t="s">
        <v>22</v>
      </c>
      <c r="E98" s="2" t="s">
        <v>15</v>
      </c>
      <c r="F98" s="11">
        <v>46239</v>
      </c>
      <c r="G98" s="2" t="s">
        <v>16</v>
      </c>
      <c r="H98" s="3" t="s">
        <v>97</v>
      </c>
      <c r="I98" s="3" t="s">
        <v>98</v>
      </c>
      <c r="J98" s="4" t="s">
        <v>80</v>
      </c>
      <c r="K98" s="4" t="s">
        <v>301</v>
      </c>
      <c r="L98" s="4" t="str">
        <f>IFERROR(VLOOKUP(A98,[1]Hoja1!$A$2:$D$42,4,FALSE), "Sin Resp.")</f>
        <v>Falta Consumo</v>
      </c>
      <c r="M98" s="2" t="s">
        <v>26</v>
      </c>
      <c r="N98" s="3" t="s">
        <v>81</v>
      </c>
      <c r="O98" s="3" t="s">
        <v>99</v>
      </c>
      <c r="P98" s="12">
        <v>46244</v>
      </c>
      <c r="Q98" s="12">
        <v>46241</v>
      </c>
    </row>
    <row r="99" spans="1:18" x14ac:dyDescent="0.3">
      <c r="A99" s="5">
        <v>38559</v>
      </c>
      <c r="B99" s="5" t="s">
        <v>13</v>
      </c>
      <c r="C99" s="6" t="s">
        <v>14</v>
      </c>
      <c r="D99" s="5" t="s">
        <v>22</v>
      </c>
      <c r="E99" s="5" t="s">
        <v>15</v>
      </c>
      <c r="F99" s="11">
        <v>46239</v>
      </c>
      <c r="G99" s="5" t="s">
        <v>16</v>
      </c>
      <c r="H99" s="6" t="s">
        <v>97</v>
      </c>
      <c r="I99" s="6" t="s">
        <v>98</v>
      </c>
      <c r="J99" s="4" t="s">
        <v>114</v>
      </c>
      <c r="K99" s="4" t="s">
        <v>301</v>
      </c>
      <c r="L99" s="4" t="str">
        <f>IFERROR(VLOOKUP(A99,[1]Hoja1!$A$2:$D$42,4,FALSE), "Sin Resp.")</f>
        <v>Falta Consumo</v>
      </c>
      <c r="M99" s="5" t="s">
        <v>26</v>
      </c>
      <c r="N99" s="6" t="s">
        <v>115</v>
      </c>
      <c r="O99" s="6" t="s">
        <v>99</v>
      </c>
      <c r="P99" s="12">
        <v>46244</v>
      </c>
      <c r="Q99" s="12">
        <v>46241</v>
      </c>
    </row>
    <row r="100" spans="1:18" x14ac:dyDescent="0.3">
      <c r="A100" s="5">
        <v>38559</v>
      </c>
      <c r="B100" s="5" t="s">
        <v>13</v>
      </c>
      <c r="C100" s="6" t="s">
        <v>14</v>
      </c>
      <c r="D100" s="5" t="s">
        <v>22</v>
      </c>
      <c r="E100" s="5" t="s">
        <v>15</v>
      </c>
      <c r="F100" s="11">
        <v>46239</v>
      </c>
      <c r="G100" s="5" t="s">
        <v>16</v>
      </c>
      <c r="H100" s="6" t="s">
        <v>97</v>
      </c>
      <c r="I100" s="6" t="s">
        <v>98</v>
      </c>
      <c r="J100" s="4" t="s">
        <v>114</v>
      </c>
      <c r="K100" s="4" t="s">
        <v>301</v>
      </c>
      <c r="L100" s="4" t="str">
        <f>IFERROR(VLOOKUP(A100,[1]Hoja1!$A$2:$D$42,4,FALSE), "Sin Resp.")</f>
        <v>Falta Consumo</v>
      </c>
      <c r="M100" s="5" t="s">
        <v>20</v>
      </c>
      <c r="N100" s="6" t="s">
        <v>115</v>
      </c>
      <c r="O100" s="6" t="s">
        <v>99</v>
      </c>
      <c r="P100" s="12">
        <v>46244</v>
      </c>
      <c r="Q100" s="12">
        <v>46241</v>
      </c>
    </row>
    <row r="101" spans="1:18" x14ac:dyDescent="0.3">
      <c r="A101" s="2">
        <v>38559</v>
      </c>
      <c r="B101" s="2" t="s">
        <v>13</v>
      </c>
      <c r="C101" s="3" t="s">
        <v>14</v>
      </c>
      <c r="D101" s="2" t="s">
        <v>22</v>
      </c>
      <c r="E101" s="2" t="s">
        <v>15</v>
      </c>
      <c r="F101" s="11">
        <v>46239</v>
      </c>
      <c r="G101" s="2" t="s">
        <v>16</v>
      </c>
      <c r="H101" s="3" t="s">
        <v>97</v>
      </c>
      <c r="I101" s="3" t="s">
        <v>98</v>
      </c>
      <c r="J101" s="4" t="s">
        <v>80</v>
      </c>
      <c r="K101" s="4" t="s">
        <v>301</v>
      </c>
      <c r="L101" s="4" t="str">
        <f>IFERROR(VLOOKUP(A101,[1]Hoja1!$A$2:$D$42,4,FALSE), "Sin Resp.")</f>
        <v>Falta Consumo</v>
      </c>
      <c r="M101" s="2" t="s">
        <v>26</v>
      </c>
      <c r="N101" s="3" t="s">
        <v>81</v>
      </c>
      <c r="O101" s="3" t="s">
        <v>99</v>
      </c>
      <c r="P101" s="12">
        <v>46244</v>
      </c>
      <c r="Q101" s="12">
        <v>46241</v>
      </c>
    </row>
    <row r="102" spans="1:18" ht="43.2" x14ac:dyDescent="0.3">
      <c r="A102" s="15" t="s">
        <v>290</v>
      </c>
      <c r="B102" s="15" t="s">
        <v>13</v>
      </c>
      <c r="C102" s="16" t="s">
        <v>14</v>
      </c>
      <c r="D102" s="15" t="s">
        <v>22</v>
      </c>
      <c r="E102" s="15" t="s">
        <v>15</v>
      </c>
      <c r="F102" s="17">
        <v>46239</v>
      </c>
      <c r="G102" s="15" t="s">
        <v>16</v>
      </c>
      <c r="H102" s="16" t="s">
        <v>97</v>
      </c>
      <c r="I102" s="16" t="s">
        <v>98</v>
      </c>
      <c r="J102" s="4" t="s">
        <v>242</v>
      </c>
      <c r="K102" s="24" t="s">
        <v>304</v>
      </c>
      <c r="L102" s="4"/>
      <c r="M102" s="5" t="s">
        <v>243</v>
      </c>
      <c r="N102" s="6" t="s">
        <v>244</v>
      </c>
      <c r="O102" s="21" t="s">
        <v>291</v>
      </c>
      <c r="P102" s="12">
        <v>46244</v>
      </c>
      <c r="Q102" s="12"/>
      <c r="R102" t="s">
        <v>309</v>
      </c>
    </row>
    <row r="103" spans="1:18" x14ac:dyDescent="0.3">
      <c r="A103" s="5">
        <v>38566</v>
      </c>
      <c r="B103" s="5" t="s">
        <v>46</v>
      </c>
      <c r="C103" s="6" t="s">
        <v>29</v>
      </c>
      <c r="D103" s="5" t="s">
        <v>22</v>
      </c>
      <c r="E103" s="5" t="s">
        <v>15</v>
      </c>
      <c r="F103" s="11">
        <v>46239</v>
      </c>
      <c r="G103" s="5" t="s">
        <v>16</v>
      </c>
      <c r="H103" s="6" t="s">
        <v>60</v>
      </c>
      <c r="I103" s="6" t="s">
        <v>23</v>
      </c>
      <c r="J103" s="4" t="s">
        <v>48</v>
      </c>
      <c r="K103" s="4" t="s">
        <v>304</v>
      </c>
      <c r="L103" s="4" t="str">
        <f>IFERROR(VLOOKUP(A103,[1]Hoja1!$A$2:$D$42,4,FALSE), "Sin Resp.")</f>
        <v>Sin Resp.</v>
      </c>
      <c r="M103" s="5" t="s">
        <v>26</v>
      </c>
      <c r="N103" s="6" t="s">
        <v>49</v>
      </c>
      <c r="O103" s="6" t="s">
        <v>50</v>
      </c>
      <c r="P103" s="12">
        <v>46244</v>
      </c>
      <c r="Q103" s="12">
        <v>46241</v>
      </c>
    </row>
    <row r="104" spans="1:18" x14ac:dyDescent="0.3">
      <c r="A104" s="2">
        <v>38566</v>
      </c>
      <c r="B104" s="2" t="s">
        <v>46</v>
      </c>
      <c r="C104" s="3" t="s">
        <v>29</v>
      </c>
      <c r="D104" s="2" t="s">
        <v>22</v>
      </c>
      <c r="E104" s="2" t="s">
        <v>15</v>
      </c>
      <c r="F104" s="11">
        <v>46239</v>
      </c>
      <c r="G104" s="2" t="s">
        <v>16</v>
      </c>
      <c r="H104" s="3" t="s">
        <v>60</v>
      </c>
      <c r="I104" s="3" t="s">
        <v>23</v>
      </c>
      <c r="J104" s="4" t="s">
        <v>48</v>
      </c>
      <c r="K104" s="4" t="s">
        <v>304</v>
      </c>
      <c r="L104" s="4" t="str">
        <f>IFERROR(VLOOKUP(A104,[1]Hoja1!$A$2:$D$42,4,FALSE), "Sin Resp.")</f>
        <v>Sin Resp.</v>
      </c>
      <c r="M104" s="2" t="s">
        <v>20</v>
      </c>
      <c r="N104" s="3" t="s">
        <v>49</v>
      </c>
      <c r="O104" s="3" t="s">
        <v>50</v>
      </c>
      <c r="P104" s="12">
        <v>46244</v>
      </c>
      <c r="Q104" s="12">
        <v>46241</v>
      </c>
    </row>
    <row r="105" spans="1:18" x14ac:dyDescent="0.3">
      <c r="A105" s="5">
        <v>38567</v>
      </c>
      <c r="B105" s="5" t="s">
        <v>13</v>
      </c>
      <c r="C105" s="6" t="s">
        <v>14</v>
      </c>
      <c r="D105" s="5" t="s">
        <v>22</v>
      </c>
      <c r="E105" s="5" t="s">
        <v>15</v>
      </c>
      <c r="F105" s="11">
        <v>46239</v>
      </c>
      <c r="G105" s="5" t="s">
        <v>16</v>
      </c>
      <c r="H105" s="6" t="s">
        <v>57</v>
      </c>
      <c r="I105" s="6" t="s">
        <v>54</v>
      </c>
      <c r="J105" s="8" t="s">
        <v>58</v>
      </c>
      <c r="K105" s="4" t="s">
        <v>306</v>
      </c>
      <c r="L105" s="4" t="str">
        <f>IFERROR(VLOOKUP(A105,[1]Hoja1!$A$2:$D$42,4,FALSE), "Sin Resp.")</f>
        <v>Falta Consumo</v>
      </c>
      <c r="M105" s="5" t="s">
        <v>26</v>
      </c>
      <c r="N105" s="6" t="s">
        <v>31</v>
      </c>
      <c r="O105" s="6" t="s">
        <v>59</v>
      </c>
      <c r="P105" s="12">
        <v>46244</v>
      </c>
      <c r="Q105" s="12">
        <v>46241</v>
      </c>
    </row>
    <row r="106" spans="1:18" x14ac:dyDescent="0.3">
      <c r="A106" s="5">
        <v>38567</v>
      </c>
      <c r="B106" s="5" t="s">
        <v>13</v>
      </c>
      <c r="C106" s="6" t="s">
        <v>14</v>
      </c>
      <c r="D106" s="5" t="s">
        <v>22</v>
      </c>
      <c r="E106" s="5" t="s">
        <v>15</v>
      </c>
      <c r="F106" s="11">
        <v>46239</v>
      </c>
      <c r="G106" s="5" t="s">
        <v>16</v>
      </c>
      <c r="H106" s="6" t="s">
        <v>57</v>
      </c>
      <c r="I106" s="6" t="s">
        <v>54</v>
      </c>
      <c r="J106" s="8" t="s">
        <v>92</v>
      </c>
      <c r="K106" s="4" t="s">
        <v>306</v>
      </c>
      <c r="L106" s="4" t="str">
        <f>IFERROR(VLOOKUP(A106,[1]Hoja1!$A$2:$D$42,4,FALSE), "Sin Resp.")</f>
        <v>Falta Consumo</v>
      </c>
      <c r="M106" s="5" t="s">
        <v>26</v>
      </c>
      <c r="N106" s="6" t="s">
        <v>31</v>
      </c>
      <c r="O106" s="6" t="s">
        <v>59</v>
      </c>
      <c r="P106" s="12">
        <v>46244</v>
      </c>
      <c r="Q106" s="12">
        <v>46241</v>
      </c>
    </row>
    <row r="107" spans="1:18" x14ac:dyDescent="0.3">
      <c r="A107" s="2">
        <v>38567</v>
      </c>
      <c r="B107" s="2" t="s">
        <v>13</v>
      </c>
      <c r="C107" s="3" t="s">
        <v>14</v>
      </c>
      <c r="D107" s="2" t="s">
        <v>22</v>
      </c>
      <c r="E107" s="2" t="s">
        <v>15</v>
      </c>
      <c r="F107" s="11">
        <v>46239</v>
      </c>
      <c r="G107" s="2" t="s">
        <v>16</v>
      </c>
      <c r="H107" s="3" t="s">
        <v>57</v>
      </c>
      <c r="I107" s="3" t="s">
        <v>54</v>
      </c>
      <c r="J107" s="8" t="s">
        <v>19</v>
      </c>
      <c r="K107" s="4" t="s">
        <v>306</v>
      </c>
      <c r="L107" s="4" t="str">
        <f>IFERROR(VLOOKUP(A107,[1]Hoja1!$A$2:$D$42,4,FALSE), "Sin Resp.")</f>
        <v>Falta Consumo</v>
      </c>
      <c r="M107" s="2" t="s">
        <v>26</v>
      </c>
      <c r="N107" s="3" t="s">
        <v>31</v>
      </c>
      <c r="O107" s="3" t="s">
        <v>59</v>
      </c>
      <c r="P107" s="12">
        <v>46244</v>
      </c>
      <c r="Q107" s="12">
        <v>46241</v>
      </c>
    </row>
    <row r="108" spans="1:18" x14ac:dyDescent="0.3">
      <c r="A108" s="5">
        <v>38567</v>
      </c>
      <c r="B108" s="5" t="s">
        <v>13</v>
      </c>
      <c r="C108" s="6" t="s">
        <v>14</v>
      </c>
      <c r="D108" s="5" t="s">
        <v>22</v>
      </c>
      <c r="E108" s="5" t="s">
        <v>15</v>
      </c>
      <c r="F108" s="11">
        <v>46239</v>
      </c>
      <c r="G108" s="5" t="s">
        <v>16</v>
      </c>
      <c r="H108" s="6" t="s">
        <v>57</v>
      </c>
      <c r="I108" s="6" t="s">
        <v>54</v>
      </c>
      <c r="J108" s="8" t="s">
        <v>19</v>
      </c>
      <c r="K108" s="4" t="s">
        <v>306</v>
      </c>
      <c r="L108" s="4" t="str">
        <f>IFERROR(VLOOKUP(A108,[1]Hoja1!$A$2:$D$42,4,FALSE), "Sin Resp.")</f>
        <v>Falta Consumo</v>
      </c>
      <c r="M108" s="5" t="s">
        <v>20</v>
      </c>
      <c r="N108" s="6" t="s">
        <v>31</v>
      </c>
      <c r="O108" s="6" t="s">
        <v>59</v>
      </c>
      <c r="P108" s="12">
        <v>46244</v>
      </c>
      <c r="Q108" s="12">
        <v>46241</v>
      </c>
    </row>
    <row r="109" spans="1:18" x14ac:dyDescent="0.3">
      <c r="A109" s="2">
        <v>38567</v>
      </c>
      <c r="B109" s="2" t="s">
        <v>13</v>
      </c>
      <c r="C109" s="3" t="s">
        <v>14</v>
      </c>
      <c r="D109" s="2" t="s">
        <v>22</v>
      </c>
      <c r="E109" s="2" t="s">
        <v>15</v>
      </c>
      <c r="F109" s="11">
        <v>46239</v>
      </c>
      <c r="G109" s="10" t="s">
        <v>16</v>
      </c>
      <c r="H109" s="3" t="s">
        <v>57</v>
      </c>
      <c r="I109" s="3" t="s">
        <v>54</v>
      </c>
      <c r="J109" s="8" t="s">
        <v>58</v>
      </c>
      <c r="K109" s="4" t="s">
        <v>306</v>
      </c>
      <c r="L109" s="4" t="str">
        <f>IFERROR(VLOOKUP(A109,[1]Hoja1!$A$2:$D$42,4,FALSE), "Sin Resp.")</f>
        <v>Falta Consumo</v>
      </c>
      <c r="M109" s="2" t="s">
        <v>20</v>
      </c>
      <c r="N109" s="3" t="s">
        <v>31</v>
      </c>
      <c r="O109" s="3" t="s">
        <v>59</v>
      </c>
      <c r="P109" s="12">
        <v>46244</v>
      </c>
      <c r="Q109" s="12">
        <v>46241</v>
      </c>
    </row>
    <row r="110" spans="1:18" x14ac:dyDescent="0.3">
      <c r="A110" s="5">
        <v>38567</v>
      </c>
      <c r="B110" s="5" t="s">
        <v>13</v>
      </c>
      <c r="C110" s="6" t="s">
        <v>14</v>
      </c>
      <c r="D110" s="5" t="s">
        <v>22</v>
      </c>
      <c r="E110" s="5" t="s">
        <v>15</v>
      </c>
      <c r="F110" s="11">
        <v>46239</v>
      </c>
      <c r="G110" s="5" t="s">
        <v>16</v>
      </c>
      <c r="H110" s="6" t="s">
        <v>57</v>
      </c>
      <c r="I110" s="6" t="s">
        <v>54</v>
      </c>
      <c r="J110" s="8" t="s">
        <v>92</v>
      </c>
      <c r="K110" s="4" t="s">
        <v>306</v>
      </c>
      <c r="L110" s="4" t="str">
        <f>IFERROR(VLOOKUP(A110,[1]Hoja1!$A$2:$D$42,4,FALSE), "Sin Resp.")</f>
        <v>Falta Consumo</v>
      </c>
      <c r="M110" s="5" t="s">
        <v>20</v>
      </c>
      <c r="N110" s="6" t="s">
        <v>31</v>
      </c>
      <c r="O110" s="6" t="s">
        <v>59</v>
      </c>
      <c r="P110" s="12">
        <v>46244</v>
      </c>
      <c r="Q110" s="12">
        <v>46241</v>
      </c>
    </row>
    <row r="111" spans="1:18" x14ac:dyDescent="0.3">
      <c r="A111" s="2">
        <v>38568</v>
      </c>
      <c r="B111" s="2" t="s">
        <v>46</v>
      </c>
      <c r="C111" s="3" t="s">
        <v>29</v>
      </c>
      <c r="D111" s="2" t="s">
        <v>22</v>
      </c>
      <c r="E111" s="2" t="s">
        <v>15</v>
      </c>
      <c r="F111" s="11">
        <v>46239</v>
      </c>
      <c r="G111" s="2" t="s">
        <v>16</v>
      </c>
      <c r="H111" s="3" t="s">
        <v>60</v>
      </c>
      <c r="I111" s="3" t="s">
        <v>23</v>
      </c>
      <c r="J111" s="4" t="s">
        <v>52</v>
      </c>
      <c r="K111" s="4" t="s">
        <v>304</v>
      </c>
      <c r="L111" s="4" t="str">
        <f>IFERROR(VLOOKUP(A111,[1]Hoja1!$A$2:$D$42,4,FALSE), "Sin Resp.")</f>
        <v>Sin Resp.</v>
      </c>
      <c r="M111" s="2" t="s">
        <v>26</v>
      </c>
      <c r="N111" s="3" t="s">
        <v>53</v>
      </c>
      <c r="O111" s="3" t="s">
        <v>61</v>
      </c>
      <c r="P111" s="12">
        <v>46244</v>
      </c>
      <c r="Q111" s="12">
        <v>46241</v>
      </c>
    </row>
    <row r="112" spans="1:18" x14ac:dyDescent="0.3">
      <c r="A112" s="5">
        <v>38568</v>
      </c>
      <c r="B112" s="5" t="s">
        <v>46</v>
      </c>
      <c r="C112" s="6" t="s">
        <v>29</v>
      </c>
      <c r="D112" s="5" t="s">
        <v>22</v>
      </c>
      <c r="E112" s="5" t="s">
        <v>15</v>
      </c>
      <c r="F112" s="11">
        <v>46239</v>
      </c>
      <c r="G112" s="5" t="s">
        <v>16</v>
      </c>
      <c r="H112" s="6" t="s">
        <v>60</v>
      </c>
      <c r="I112" s="6" t="s">
        <v>23</v>
      </c>
      <c r="J112" s="4" t="s">
        <v>52</v>
      </c>
      <c r="K112" s="4" t="s">
        <v>304</v>
      </c>
      <c r="L112" s="4" t="str">
        <f>IFERROR(VLOOKUP(A112,[1]Hoja1!$A$2:$D$42,4,FALSE), "Sin Resp.")</f>
        <v>Sin Resp.</v>
      </c>
      <c r="M112" s="5" t="s">
        <v>20</v>
      </c>
      <c r="N112" s="6" t="s">
        <v>53</v>
      </c>
      <c r="O112" s="6" t="s">
        <v>61</v>
      </c>
      <c r="P112" s="12">
        <v>46244</v>
      </c>
      <c r="Q112" s="12">
        <v>46241</v>
      </c>
    </row>
    <row r="113" spans="1:17" x14ac:dyDescent="0.3">
      <c r="A113" s="2">
        <v>38570</v>
      </c>
      <c r="B113" s="2" t="s">
        <v>13</v>
      </c>
      <c r="C113" s="3" t="s">
        <v>14</v>
      </c>
      <c r="D113" s="2" t="s">
        <v>22</v>
      </c>
      <c r="E113" s="2" t="s">
        <v>15</v>
      </c>
      <c r="F113" s="11">
        <v>46239</v>
      </c>
      <c r="G113" s="2" t="s">
        <v>16</v>
      </c>
      <c r="H113" s="3" t="s">
        <v>35</v>
      </c>
      <c r="I113" s="3" t="s">
        <v>36</v>
      </c>
      <c r="J113" s="8" t="s">
        <v>79</v>
      </c>
      <c r="K113" s="4" t="s">
        <v>306</v>
      </c>
      <c r="L113" s="4" t="str">
        <f>IFERROR(VLOOKUP(A113,[1]Hoja1!$A$2:$D$42,4,FALSE), "Sin Resp.")</f>
        <v>Falta Consumo</v>
      </c>
      <c r="M113" s="2" t="s">
        <v>20</v>
      </c>
      <c r="N113" s="3" t="s">
        <v>31</v>
      </c>
      <c r="O113" s="3" t="s">
        <v>213</v>
      </c>
      <c r="P113" s="12">
        <v>46244</v>
      </c>
      <c r="Q113" s="12">
        <v>46241</v>
      </c>
    </row>
    <row r="114" spans="1:17" x14ac:dyDescent="0.3">
      <c r="A114" s="5">
        <v>38570</v>
      </c>
      <c r="B114" s="5" t="s">
        <v>13</v>
      </c>
      <c r="C114" s="6" t="s">
        <v>14</v>
      </c>
      <c r="D114" s="5" t="s">
        <v>22</v>
      </c>
      <c r="E114" s="5" t="s">
        <v>15</v>
      </c>
      <c r="F114" s="11">
        <v>46239</v>
      </c>
      <c r="G114" s="9" t="s">
        <v>16</v>
      </c>
      <c r="H114" s="6" t="s">
        <v>35</v>
      </c>
      <c r="I114" s="6" t="s">
        <v>36</v>
      </c>
      <c r="J114" s="8" t="s">
        <v>79</v>
      </c>
      <c r="K114" s="4" t="s">
        <v>306</v>
      </c>
      <c r="L114" s="4" t="str">
        <f>IFERROR(VLOOKUP(A114,[1]Hoja1!$A$2:$D$42,4,FALSE), "Sin Resp.")</f>
        <v>Falta Consumo</v>
      </c>
      <c r="M114" s="5" t="s">
        <v>20</v>
      </c>
      <c r="N114" s="6" t="s">
        <v>31</v>
      </c>
      <c r="O114" s="6" t="s">
        <v>213</v>
      </c>
      <c r="P114" s="12">
        <v>46244</v>
      </c>
      <c r="Q114" s="12">
        <v>46241</v>
      </c>
    </row>
    <row r="115" spans="1:17" x14ac:dyDescent="0.3">
      <c r="A115" s="2">
        <v>38570</v>
      </c>
      <c r="B115" s="2" t="s">
        <v>13</v>
      </c>
      <c r="C115" s="3" t="s">
        <v>14</v>
      </c>
      <c r="D115" s="2" t="s">
        <v>22</v>
      </c>
      <c r="E115" s="2" t="s">
        <v>15</v>
      </c>
      <c r="F115" s="11">
        <v>46239</v>
      </c>
      <c r="G115" s="10" t="s">
        <v>16</v>
      </c>
      <c r="H115" s="3" t="s">
        <v>35</v>
      </c>
      <c r="I115" s="3" t="s">
        <v>36</v>
      </c>
      <c r="J115" s="8" t="s">
        <v>214</v>
      </c>
      <c r="K115" s="4" t="s">
        <v>306</v>
      </c>
      <c r="L115" s="4" t="str">
        <f>IFERROR(VLOOKUP(A115,[1]Hoja1!$A$2:$D$42,4,FALSE), "Sin Resp.")</f>
        <v>Falta Consumo</v>
      </c>
      <c r="M115" s="2" t="s">
        <v>20</v>
      </c>
      <c r="N115" s="3" t="s">
        <v>31</v>
      </c>
      <c r="O115" s="3" t="s">
        <v>213</v>
      </c>
      <c r="P115" s="12">
        <v>46244</v>
      </c>
      <c r="Q115" s="12">
        <v>46241</v>
      </c>
    </row>
    <row r="116" spans="1:17" x14ac:dyDescent="0.3">
      <c r="A116" s="5">
        <v>38570</v>
      </c>
      <c r="B116" s="5" t="s">
        <v>13</v>
      </c>
      <c r="C116" s="6" t="s">
        <v>14</v>
      </c>
      <c r="D116" s="5" t="s">
        <v>22</v>
      </c>
      <c r="E116" s="5" t="s">
        <v>15</v>
      </c>
      <c r="F116" s="11">
        <v>46239</v>
      </c>
      <c r="G116" s="5" t="s">
        <v>16</v>
      </c>
      <c r="H116" s="6" t="s">
        <v>35</v>
      </c>
      <c r="I116" s="6" t="s">
        <v>36</v>
      </c>
      <c r="J116" s="8" t="s">
        <v>215</v>
      </c>
      <c r="K116" s="4" t="s">
        <v>306</v>
      </c>
      <c r="L116" s="4" t="str">
        <f>IFERROR(VLOOKUP(A116,[1]Hoja1!$A$2:$D$42,4,FALSE), "Sin Resp.")</f>
        <v>Falta Consumo</v>
      </c>
      <c r="M116" s="5" t="s">
        <v>20</v>
      </c>
      <c r="N116" s="6" t="s">
        <v>31</v>
      </c>
      <c r="O116" s="6" t="s">
        <v>213</v>
      </c>
      <c r="P116" s="12">
        <v>46244</v>
      </c>
      <c r="Q116" s="12">
        <v>46241</v>
      </c>
    </row>
    <row r="117" spans="1:17" x14ac:dyDescent="0.3">
      <c r="A117" s="2">
        <v>38570</v>
      </c>
      <c r="B117" s="2" t="s">
        <v>13</v>
      </c>
      <c r="C117" s="3" t="s">
        <v>14</v>
      </c>
      <c r="D117" s="2" t="s">
        <v>22</v>
      </c>
      <c r="E117" s="2" t="s">
        <v>15</v>
      </c>
      <c r="F117" s="11">
        <v>46239</v>
      </c>
      <c r="G117" s="2" t="s">
        <v>16</v>
      </c>
      <c r="H117" s="3" t="s">
        <v>35</v>
      </c>
      <c r="I117" s="3" t="s">
        <v>36</v>
      </c>
      <c r="J117" s="8" t="s">
        <v>216</v>
      </c>
      <c r="K117" s="4" t="s">
        <v>306</v>
      </c>
      <c r="L117" s="4" t="str">
        <f>IFERROR(VLOOKUP(A117,[1]Hoja1!$A$2:$D$42,4,FALSE), "Sin Resp.")</f>
        <v>Falta Consumo</v>
      </c>
      <c r="M117" s="2" t="s">
        <v>20</v>
      </c>
      <c r="N117" s="3" t="s">
        <v>31</v>
      </c>
      <c r="O117" s="3" t="s">
        <v>213</v>
      </c>
      <c r="P117" s="12">
        <v>46244</v>
      </c>
      <c r="Q117" s="12">
        <v>46241</v>
      </c>
    </row>
    <row r="118" spans="1:17" x14ac:dyDescent="0.3">
      <c r="A118" s="5">
        <v>38570</v>
      </c>
      <c r="B118" s="5" t="s">
        <v>13</v>
      </c>
      <c r="C118" s="6" t="s">
        <v>14</v>
      </c>
      <c r="D118" s="5" t="s">
        <v>22</v>
      </c>
      <c r="E118" s="5" t="s">
        <v>15</v>
      </c>
      <c r="F118" s="11">
        <v>46239</v>
      </c>
      <c r="G118" s="5" t="s">
        <v>16</v>
      </c>
      <c r="H118" s="6" t="s">
        <v>35</v>
      </c>
      <c r="I118" s="6" t="s">
        <v>36</v>
      </c>
      <c r="J118" s="8" t="s">
        <v>216</v>
      </c>
      <c r="K118" s="4" t="s">
        <v>306</v>
      </c>
      <c r="L118" s="4" t="str">
        <f>IFERROR(VLOOKUP(A118,[1]Hoja1!$A$2:$D$42,4,FALSE), "Sin Resp.")</f>
        <v>Falta Consumo</v>
      </c>
      <c r="M118" s="5" t="s">
        <v>20</v>
      </c>
      <c r="N118" s="6" t="s">
        <v>31</v>
      </c>
      <c r="O118" s="6" t="s">
        <v>213</v>
      </c>
      <c r="P118" s="12">
        <v>46244</v>
      </c>
      <c r="Q118" s="12">
        <v>46241</v>
      </c>
    </row>
    <row r="119" spans="1:17" x14ac:dyDescent="0.3">
      <c r="A119" s="2">
        <v>38572</v>
      </c>
      <c r="B119" s="2" t="s">
        <v>46</v>
      </c>
      <c r="C119" s="3" t="s">
        <v>14</v>
      </c>
      <c r="D119" s="2" t="s">
        <v>22</v>
      </c>
      <c r="E119" s="2" t="s">
        <v>15</v>
      </c>
      <c r="F119" s="11">
        <v>46239</v>
      </c>
      <c r="G119" s="2" t="s">
        <v>16</v>
      </c>
      <c r="H119" s="3" t="s">
        <v>178</v>
      </c>
      <c r="I119" s="3" t="s">
        <v>23</v>
      </c>
      <c r="J119" s="8" t="s">
        <v>48</v>
      </c>
      <c r="K119" s="4" t="s">
        <v>306</v>
      </c>
      <c r="L119" s="4" t="str">
        <f>IFERROR(VLOOKUP(A119,[1]Hoja1!$A$2:$D$42,4,FALSE), "Sin Resp.")</f>
        <v>Falta Consumo</v>
      </c>
      <c r="M119" s="2" t="s">
        <v>20</v>
      </c>
      <c r="N119" s="3" t="s">
        <v>31</v>
      </c>
      <c r="O119" s="3" t="s">
        <v>117</v>
      </c>
      <c r="P119" s="12">
        <v>46244</v>
      </c>
      <c r="Q119" s="12">
        <v>46241</v>
      </c>
    </row>
    <row r="120" spans="1:17" x14ac:dyDescent="0.3">
      <c r="A120" s="5">
        <v>38573</v>
      </c>
      <c r="B120" s="5" t="s">
        <v>46</v>
      </c>
      <c r="C120" s="6" t="s">
        <v>14</v>
      </c>
      <c r="D120" s="5" t="s">
        <v>22</v>
      </c>
      <c r="E120" s="5" t="s">
        <v>15</v>
      </c>
      <c r="F120" s="11">
        <v>46239</v>
      </c>
      <c r="G120" s="5" t="s">
        <v>16</v>
      </c>
      <c r="H120" s="6" t="s">
        <v>178</v>
      </c>
      <c r="I120" s="6" t="s">
        <v>23</v>
      </c>
      <c r="J120" s="8" t="s">
        <v>52</v>
      </c>
      <c r="K120" s="4" t="s">
        <v>306</v>
      </c>
      <c r="L120" s="4" t="str">
        <f>IFERROR(VLOOKUP(A120,[1]Hoja1!$A$2:$D$42,4,FALSE), "Sin Resp.")</f>
        <v>Falta Consumo</v>
      </c>
      <c r="M120" s="5" t="s">
        <v>20</v>
      </c>
      <c r="N120" s="6" t="s">
        <v>31</v>
      </c>
      <c r="O120" s="6" t="s">
        <v>217</v>
      </c>
      <c r="P120" s="12">
        <v>46244</v>
      </c>
      <c r="Q120" s="12">
        <v>46241</v>
      </c>
    </row>
    <row r="121" spans="1:17" x14ac:dyDescent="0.3">
      <c r="A121" s="2">
        <v>38574</v>
      </c>
      <c r="B121" s="2" t="s">
        <v>46</v>
      </c>
      <c r="C121" s="3" t="s">
        <v>14</v>
      </c>
      <c r="D121" s="2" t="s">
        <v>22</v>
      </c>
      <c r="E121" s="2" t="s">
        <v>15</v>
      </c>
      <c r="F121" s="11">
        <v>46239</v>
      </c>
      <c r="G121" s="2" t="s">
        <v>16</v>
      </c>
      <c r="H121" s="3" t="s">
        <v>178</v>
      </c>
      <c r="I121" s="3" t="s">
        <v>23</v>
      </c>
      <c r="J121" s="8" t="s">
        <v>119</v>
      </c>
      <c r="K121" s="4" t="s">
        <v>306</v>
      </c>
      <c r="L121" s="4" t="str">
        <f>IFERROR(VLOOKUP(A121,[1]Hoja1!$A$2:$D$42,4,FALSE), "Sin Resp.")</f>
        <v>Falta Consumo</v>
      </c>
      <c r="M121" s="2" t="s">
        <v>20</v>
      </c>
      <c r="N121" s="3" t="s">
        <v>31</v>
      </c>
      <c r="O121" s="3" t="s">
        <v>218</v>
      </c>
      <c r="P121" s="12">
        <v>46244</v>
      </c>
      <c r="Q121" s="12">
        <v>46241</v>
      </c>
    </row>
    <row r="122" spans="1:17" x14ac:dyDescent="0.3">
      <c r="A122" s="2">
        <v>38582</v>
      </c>
      <c r="B122" s="2" t="s">
        <v>13</v>
      </c>
      <c r="C122" s="3" t="s">
        <v>14</v>
      </c>
      <c r="D122" s="2" t="s">
        <v>22</v>
      </c>
      <c r="E122" s="2" t="s">
        <v>15</v>
      </c>
      <c r="F122" s="11">
        <v>46239</v>
      </c>
      <c r="G122" s="2" t="s">
        <v>16</v>
      </c>
      <c r="H122" s="3" t="s">
        <v>17</v>
      </c>
      <c r="I122" s="3" t="s">
        <v>18</v>
      </c>
      <c r="J122" s="8" t="s">
        <v>30</v>
      </c>
      <c r="K122" s="4" t="s">
        <v>306</v>
      </c>
      <c r="L122" s="4" t="str">
        <f>IFERROR(VLOOKUP(A122,[1]Hoja1!$A$2:$D$42,4,FALSE), "Sin Resp.")</f>
        <v>Falta Consumo</v>
      </c>
      <c r="M122" s="2" t="s">
        <v>26</v>
      </c>
      <c r="N122" s="3" t="s">
        <v>31</v>
      </c>
      <c r="O122" s="3" t="s">
        <v>32</v>
      </c>
      <c r="P122" s="12">
        <v>46244</v>
      </c>
      <c r="Q122" s="12">
        <v>46241</v>
      </c>
    </row>
    <row r="123" spans="1:17" x14ac:dyDescent="0.3">
      <c r="A123" s="2">
        <v>38582</v>
      </c>
      <c r="B123" s="2" t="s">
        <v>13</v>
      </c>
      <c r="C123" s="3" t="s">
        <v>14</v>
      </c>
      <c r="D123" s="2" t="s">
        <v>22</v>
      </c>
      <c r="E123" s="2" t="s">
        <v>15</v>
      </c>
      <c r="F123" s="11">
        <v>46239</v>
      </c>
      <c r="G123" s="2" t="s">
        <v>16</v>
      </c>
      <c r="H123" s="3" t="s">
        <v>17</v>
      </c>
      <c r="I123" s="3" t="s">
        <v>18</v>
      </c>
      <c r="J123" s="8" t="s">
        <v>144</v>
      </c>
      <c r="K123" s="4" t="s">
        <v>306</v>
      </c>
      <c r="L123" s="4" t="str">
        <f>IFERROR(VLOOKUP(A123,[1]Hoja1!$A$2:$D$42,4,FALSE), "Sin Resp.")</f>
        <v>Falta Consumo</v>
      </c>
      <c r="M123" s="2" t="s">
        <v>26</v>
      </c>
      <c r="N123" s="3" t="s">
        <v>31</v>
      </c>
      <c r="O123" s="3" t="s">
        <v>32</v>
      </c>
      <c r="P123" s="12">
        <v>46244</v>
      </c>
      <c r="Q123" s="12">
        <v>46241</v>
      </c>
    </row>
    <row r="124" spans="1:17" x14ac:dyDescent="0.3">
      <c r="A124" s="5">
        <v>38582</v>
      </c>
      <c r="B124" s="5" t="s">
        <v>13</v>
      </c>
      <c r="C124" s="6" t="s">
        <v>14</v>
      </c>
      <c r="D124" s="5" t="s">
        <v>22</v>
      </c>
      <c r="E124" s="5" t="s">
        <v>15</v>
      </c>
      <c r="F124" s="11">
        <v>46239</v>
      </c>
      <c r="G124" s="5" t="s">
        <v>16</v>
      </c>
      <c r="H124" s="6" t="s">
        <v>17</v>
      </c>
      <c r="I124" s="6" t="s">
        <v>18</v>
      </c>
      <c r="J124" s="8" t="s">
        <v>144</v>
      </c>
      <c r="K124" s="4" t="s">
        <v>306</v>
      </c>
      <c r="L124" s="4" t="str">
        <f>IFERROR(VLOOKUP(A124,[1]Hoja1!$A$2:$D$42,4,FALSE), "Sin Resp.")</f>
        <v>Falta Consumo</v>
      </c>
      <c r="M124" s="5" t="s">
        <v>20</v>
      </c>
      <c r="N124" s="6" t="s">
        <v>31</v>
      </c>
      <c r="O124" s="6" t="s">
        <v>32</v>
      </c>
      <c r="P124" s="12">
        <v>46244</v>
      </c>
      <c r="Q124" s="12">
        <v>46241</v>
      </c>
    </row>
    <row r="125" spans="1:17" x14ac:dyDescent="0.3">
      <c r="A125" s="2">
        <v>38582</v>
      </c>
      <c r="B125" s="2" t="s">
        <v>13</v>
      </c>
      <c r="C125" s="3" t="s">
        <v>14</v>
      </c>
      <c r="D125" s="2" t="s">
        <v>22</v>
      </c>
      <c r="E125" s="2" t="s">
        <v>15</v>
      </c>
      <c r="F125" s="11">
        <v>46239</v>
      </c>
      <c r="G125" s="2" t="s">
        <v>16</v>
      </c>
      <c r="H125" s="3" t="s">
        <v>17</v>
      </c>
      <c r="I125" s="3" t="s">
        <v>18</v>
      </c>
      <c r="J125" s="8" t="s">
        <v>30</v>
      </c>
      <c r="K125" s="4" t="s">
        <v>306</v>
      </c>
      <c r="L125" s="4" t="str">
        <f>IFERROR(VLOOKUP(A125,[1]Hoja1!$A$2:$D$42,4,FALSE), "Sin Resp.")</f>
        <v>Falta Consumo</v>
      </c>
      <c r="M125" s="2" t="s">
        <v>20</v>
      </c>
      <c r="N125" s="3" t="s">
        <v>31</v>
      </c>
      <c r="O125" s="3" t="s">
        <v>32</v>
      </c>
      <c r="P125" s="12">
        <v>46244</v>
      </c>
      <c r="Q125" s="12">
        <v>46241</v>
      </c>
    </row>
    <row r="126" spans="1:17" x14ac:dyDescent="0.3">
      <c r="A126" s="2">
        <v>38584</v>
      </c>
      <c r="B126" s="2" t="s">
        <v>13</v>
      </c>
      <c r="C126" s="3" t="s">
        <v>14</v>
      </c>
      <c r="D126" s="2" t="s">
        <v>22</v>
      </c>
      <c r="E126" s="2" t="s">
        <v>15</v>
      </c>
      <c r="F126" s="11">
        <v>46239</v>
      </c>
      <c r="G126" s="2" t="s">
        <v>16</v>
      </c>
      <c r="H126" s="3" t="s">
        <v>72</v>
      </c>
      <c r="I126" s="3" t="s">
        <v>25</v>
      </c>
      <c r="J126" s="8" t="s">
        <v>109</v>
      </c>
      <c r="K126" s="4" t="s">
        <v>306</v>
      </c>
      <c r="L126" s="4" t="str">
        <f>IFERROR(VLOOKUP(A126,[1]Hoja1!$A$2:$D$42,4,FALSE), "Sin Resp.")</f>
        <v>Falta Consumo</v>
      </c>
      <c r="M126" s="2" t="s">
        <v>26</v>
      </c>
      <c r="N126" s="3" t="s">
        <v>31</v>
      </c>
      <c r="O126" s="3" t="s">
        <v>110</v>
      </c>
      <c r="P126" s="12">
        <v>46244</v>
      </c>
      <c r="Q126" s="12">
        <v>46241</v>
      </c>
    </row>
    <row r="127" spans="1:17" x14ac:dyDescent="0.3">
      <c r="A127" s="5">
        <v>38584</v>
      </c>
      <c r="B127" s="5" t="s">
        <v>13</v>
      </c>
      <c r="C127" s="6" t="s">
        <v>14</v>
      </c>
      <c r="D127" s="5" t="s">
        <v>22</v>
      </c>
      <c r="E127" s="5" t="s">
        <v>15</v>
      </c>
      <c r="F127" s="11">
        <v>46239</v>
      </c>
      <c r="G127" s="5" t="s">
        <v>16</v>
      </c>
      <c r="H127" s="6" t="s">
        <v>72</v>
      </c>
      <c r="I127" s="6" t="s">
        <v>25</v>
      </c>
      <c r="J127" s="8" t="s">
        <v>109</v>
      </c>
      <c r="K127" s="4" t="s">
        <v>306</v>
      </c>
      <c r="L127" s="4" t="str">
        <f>IFERROR(VLOOKUP(A127,[1]Hoja1!$A$2:$D$42,4,FALSE), "Sin Resp.")</f>
        <v>Falta Consumo</v>
      </c>
      <c r="M127" s="5" t="s">
        <v>20</v>
      </c>
      <c r="N127" s="6" t="s">
        <v>31</v>
      </c>
      <c r="O127" s="6" t="s">
        <v>110</v>
      </c>
      <c r="P127" s="12">
        <v>46244</v>
      </c>
      <c r="Q127" s="12">
        <v>46241</v>
      </c>
    </row>
    <row r="128" spans="1:17" x14ac:dyDescent="0.3">
      <c r="A128" s="5">
        <v>38585</v>
      </c>
      <c r="B128" s="5" t="s">
        <v>46</v>
      </c>
      <c r="C128" s="6" t="s">
        <v>14</v>
      </c>
      <c r="D128" s="5" t="s">
        <v>22</v>
      </c>
      <c r="E128" s="5" t="s">
        <v>15</v>
      </c>
      <c r="F128" s="11">
        <v>46239</v>
      </c>
      <c r="G128" s="5" t="s">
        <v>16</v>
      </c>
      <c r="H128" s="6" t="s">
        <v>72</v>
      </c>
      <c r="I128" s="6" t="s">
        <v>25</v>
      </c>
      <c r="J128" s="8" t="s">
        <v>48</v>
      </c>
      <c r="K128" s="4" t="s">
        <v>306</v>
      </c>
      <c r="L128" s="4" t="str">
        <f>IFERROR(VLOOKUP(A128,[1]Hoja1!$A$2:$D$42,4,FALSE), "Sin Resp.")</f>
        <v>Falta Consumo</v>
      </c>
      <c r="M128" s="5" t="s">
        <v>26</v>
      </c>
      <c r="N128" s="6" t="s">
        <v>31</v>
      </c>
      <c r="O128" s="6" t="s">
        <v>100</v>
      </c>
      <c r="P128" s="12">
        <v>46244</v>
      </c>
      <c r="Q128" s="12">
        <v>46241</v>
      </c>
    </row>
    <row r="129" spans="1:17" x14ac:dyDescent="0.3">
      <c r="A129" s="2">
        <v>38585</v>
      </c>
      <c r="B129" s="2" t="s">
        <v>46</v>
      </c>
      <c r="C129" s="3" t="s">
        <v>14</v>
      </c>
      <c r="D129" s="2" t="s">
        <v>22</v>
      </c>
      <c r="E129" s="2" t="s">
        <v>15</v>
      </c>
      <c r="F129" s="11">
        <v>46239</v>
      </c>
      <c r="G129" s="2" t="s">
        <v>16</v>
      </c>
      <c r="H129" s="3" t="s">
        <v>72</v>
      </c>
      <c r="I129" s="3" t="s">
        <v>25</v>
      </c>
      <c r="J129" s="8" t="s">
        <v>48</v>
      </c>
      <c r="K129" s="4" t="s">
        <v>306</v>
      </c>
      <c r="L129" s="4" t="str">
        <f>IFERROR(VLOOKUP(A129,[1]Hoja1!$A$2:$D$42,4,FALSE), "Sin Resp.")</f>
        <v>Falta Consumo</v>
      </c>
      <c r="M129" s="2" t="s">
        <v>20</v>
      </c>
      <c r="N129" s="3" t="s">
        <v>31</v>
      </c>
      <c r="O129" s="3" t="s">
        <v>100</v>
      </c>
      <c r="P129" s="12">
        <v>46244</v>
      </c>
      <c r="Q129" s="12">
        <v>46241</v>
      </c>
    </row>
    <row r="130" spans="1:17" x14ac:dyDescent="0.3">
      <c r="A130" s="2">
        <v>38586</v>
      </c>
      <c r="B130" s="2" t="s">
        <v>46</v>
      </c>
      <c r="C130" s="3" t="s">
        <v>14</v>
      </c>
      <c r="D130" s="2" t="s">
        <v>22</v>
      </c>
      <c r="E130" s="2" t="s">
        <v>15</v>
      </c>
      <c r="F130" s="11">
        <v>46239</v>
      </c>
      <c r="G130" s="2" t="s">
        <v>16</v>
      </c>
      <c r="H130" s="3" t="s">
        <v>72</v>
      </c>
      <c r="I130" s="3" t="s">
        <v>25</v>
      </c>
      <c r="J130" s="8" t="s">
        <v>52</v>
      </c>
      <c r="K130" s="4" t="s">
        <v>306</v>
      </c>
      <c r="L130" s="4" t="str">
        <f>IFERROR(VLOOKUP(A130,[1]Hoja1!$A$2:$D$42,4,FALSE), "Sin Resp.")</f>
        <v>Falta Consumo</v>
      </c>
      <c r="M130" s="2" t="s">
        <v>26</v>
      </c>
      <c r="N130" s="3" t="s">
        <v>31</v>
      </c>
      <c r="O130" s="3" t="s">
        <v>137</v>
      </c>
      <c r="P130" s="12">
        <v>46244</v>
      </c>
      <c r="Q130" s="12">
        <v>46241</v>
      </c>
    </row>
    <row r="131" spans="1:17" x14ac:dyDescent="0.3">
      <c r="A131" s="5">
        <v>38586</v>
      </c>
      <c r="B131" s="5" t="s">
        <v>46</v>
      </c>
      <c r="C131" s="6" t="s">
        <v>14</v>
      </c>
      <c r="D131" s="5" t="s">
        <v>22</v>
      </c>
      <c r="E131" s="5" t="s">
        <v>15</v>
      </c>
      <c r="F131" s="11">
        <v>46239</v>
      </c>
      <c r="G131" s="5" t="s">
        <v>16</v>
      </c>
      <c r="H131" s="6" t="s">
        <v>72</v>
      </c>
      <c r="I131" s="6" t="s">
        <v>25</v>
      </c>
      <c r="J131" s="8" t="s">
        <v>52</v>
      </c>
      <c r="K131" s="4" t="s">
        <v>306</v>
      </c>
      <c r="L131" s="4" t="str">
        <f>IFERROR(VLOOKUP(A131,[1]Hoja1!$A$2:$D$42,4,FALSE), "Sin Resp.")</f>
        <v>Falta Consumo</v>
      </c>
      <c r="M131" s="5" t="s">
        <v>20</v>
      </c>
      <c r="N131" s="6" t="s">
        <v>31</v>
      </c>
      <c r="O131" s="6" t="s">
        <v>137</v>
      </c>
      <c r="P131" s="12">
        <v>46244</v>
      </c>
      <c r="Q131" s="12">
        <v>46241</v>
      </c>
    </row>
    <row r="132" spans="1:17" x14ac:dyDescent="0.3">
      <c r="A132" s="2">
        <v>38587</v>
      </c>
      <c r="B132" s="2" t="s">
        <v>46</v>
      </c>
      <c r="C132" s="3" t="s">
        <v>14</v>
      </c>
      <c r="D132" s="2" t="s">
        <v>22</v>
      </c>
      <c r="E132" s="2" t="s">
        <v>15</v>
      </c>
      <c r="F132" s="11">
        <v>46239</v>
      </c>
      <c r="G132" s="2" t="s">
        <v>16</v>
      </c>
      <c r="H132" s="3" t="s">
        <v>72</v>
      </c>
      <c r="I132" s="3" t="s">
        <v>25</v>
      </c>
      <c r="J132" s="8" t="s">
        <v>119</v>
      </c>
      <c r="K132" s="4" t="s">
        <v>306</v>
      </c>
      <c r="L132" s="4" t="str">
        <f>IFERROR(VLOOKUP(A132,[1]Hoja1!$A$2:$D$42,4,FALSE), "Sin Resp.")</f>
        <v>Falta Consumo</v>
      </c>
      <c r="M132" s="2" t="s">
        <v>26</v>
      </c>
      <c r="N132" s="3" t="s">
        <v>31</v>
      </c>
      <c r="O132" s="3" t="s">
        <v>120</v>
      </c>
      <c r="P132" s="12">
        <v>46244</v>
      </c>
      <c r="Q132" s="12">
        <v>46241</v>
      </c>
    </row>
    <row r="133" spans="1:17" x14ac:dyDescent="0.3">
      <c r="A133" s="2">
        <v>38587</v>
      </c>
      <c r="B133" s="2" t="s">
        <v>46</v>
      </c>
      <c r="C133" s="3" t="s">
        <v>14</v>
      </c>
      <c r="D133" s="2" t="s">
        <v>22</v>
      </c>
      <c r="E133" s="2" t="s">
        <v>15</v>
      </c>
      <c r="F133" s="11">
        <v>46239</v>
      </c>
      <c r="G133" s="2" t="s">
        <v>16</v>
      </c>
      <c r="H133" s="3" t="s">
        <v>72</v>
      </c>
      <c r="I133" s="3" t="s">
        <v>25</v>
      </c>
      <c r="J133" s="8" t="s">
        <v>119</v>
      </c>
      <c r="K133" s="4" t="s">
        <v>306</v>
      </c>
      <c r="L133" s="4" t="str">
        <f>IFERROR(VLOOKUP(A133,[1]Hoja1!$A$2:$D$42,4,FALSE), "Sin Resp.")</f>
        <v>Falta Consumo</v>
      </c>
      <c r="M133" s="2" t="s">
        <v>20</v>
      </c>
      <c r="N133" s="3" t="s">
        <v>31</v>
      </c>
      <c r="O133" s="3" t="s">
        <v>120</v>
      </c>
      <c r="P133" s="12">
        <v>46244</v>
      </c>
      <c r="Q133" s="12">
        <v>46241</v>
      </c>
    </row>
    <row r="134" spans="1:17" x14ac:dyDescent="0.3">
      <c r="A134" s="2">
        <v>38590</v>
      </c>
      <c r="B134" s="2" t="s">
        <v>46</v>
      </c>
      <c r="C134" s="3" t="s">
        <v>14</v>
      </c>
      <c r="D134" s="2" t="s">
        <v>22</v>
      </c>
      <c r="E134" s="2" t="s">
        <v>15</v>
      </c>
      <c r="F134" s="11">
        <v>46239</v>
      </c>
      <c r="G134" s="2" t="s">
        <v>16</v>
      </c>
      <c r="H134" s="3" t="s">
        <v>118</v>
      </c>
      <c r="I134" s="3" t="s">
        <v>63</v>
      </c>
      <c r="J134" s="8" t="s">
        <v>48</v>
      </c>
      <c r="K134" s="4" t="s">
        <v>306</v>
      </c>
      <c r="L134" s="4" t="str">
        <f>IFERROR(VLOOKUP(A134,[1]Hoja1!$A$2:$D$42,4,FALSE), "Sin Resp.")</f>
        <v>Falta Consumo</v>
      </c>
      <c r="M134" s="2" t="s">
        <v>26</v>
      </c>
      <c r="N134" s="3" t="s">
        <v>31</v>
      </c>
      <c r="O134" s="3" t="s">
        <v>117</v>
      </c>
      <c r="P134" s="12">
        <v>46244</v>
      </c>
      <c r="Q134" s="12">
        <v>46241</v>
      </c>
    </row>
    <row r="135" spans="1:17" x14ac:dyDescent="0.3">
      <c r="A135" s="5">
        <v>38590</v>
      </c>
      <c r="B135" s="5" t="s">
        <v>46</v>
      </c>
      <c r="C135" s="6" t="s">
        <v>14</v>
      </c>
      <c r="D135" s="5" t="s">
        <v>22</v>
      </c>
      <c r="E135" s="5" t="s">
        <v>15</v>
      </c>
      <c r="F135" s="11">
        <v>46239</v>
      </c>
      <c r="G135" s="9" t="s">
        <v>16</v>
      </c>
      <c r="H135" s="6" t="s">
        <v>118</v>
      </c>
      <c r="I135" s="6" t="s">
        <v>63</v>
      </c>
      <c r="J135" s="8" t="s">
        <v>48</v>
      </c>
      <c r="K135" s="4" t="s">
        <v>306</v>
      </c>
      <c r="L135" s="4" t="str">
        <f>IFERROR(VLOOKUP(A135,[1]Hoja1!$A$2:$D$42,4,FALSE), "Sin Resp.")</f>
        <v>Falta Consumo</v>
      </c>
      <c r="M135" s="5" t="s">
        <v>20</v>
      </c>
      <c r="N135" s="6" t="s">
        <v>31</v>
      </c>
      <c r="O135" s="6" t="s">
        <v>117</v>
      </c>
      <c r="P135" s="12">
        <v>46244</v>
      </c>
      <c r="Q135" s="12">
        <v>46241</v>
      </c>
    </row>
    <row r="136" spans="1:17" x14ac:dyDescent="0.3">
      <c r="A136" s="5">
        <v>38591</v>
      </c>
      <c r="B136" s="5" t="s">
        <v>46</v>
      </c>
      <c r="C136" s="6" t="s">
        <v>14</v>
      </c>
      <c r="D136" s="5" t="s">
        <v>22</v>
      </c>
      <c r="E136" s="5" t="s">
        <v>15</v>
      </c>
      <c r="F136" s="11">
        <v>46239</v>
      </c>
      <c r="G136" s="5" t="s">
        <v>16</v>
      </c>
      <c r="H136" s="6" t="s">
        <v>118</v>
      </c>
      <c r="I136" s="6" t="s">
        <v>63</v>
      </c>
      <c r="J136" s="8" t="s">
        <v>52</v>
      </c>
      <c r="K136" s="4" t="s">
        <v>306</v>
      </c>
      <c r="L136" s="4" t="str">
        <f>IFERROR(VLOOKUP(A136,[1]Hoja1!$A$2:$D$42,4,FALSE), "Sin Resp.")</f>
        <v>Falta Consumo</v>
      </c>
      <c r="M136" s="5" t="s">
        <v>26</v>
      </c>
      <c r="N136" s="6" t="s">
        <v>31</v>
      </c>
      <c r="O136" s="6" t="s">
        <v>141</v>
      </c>
      <c r="P136" s="12">
        <v>46244</v>
      </c>
      <c r="Q136" s="12">
        <v>46241</v>
      </c>
    </row>
    <row r="137" spans="1:17" x14ac:dyDescent="0.3">
      <c r="A137" s="2">
        <v>38591</v>
      </c>
      <c r="B137" s="2" t="s">
        <v>46</v>
      </c>
      <c r="C137" s="3" t="s">
        <v>14</v>
      </c>
      <c r="D137" s="2" t="s">
        <v>22</v>
      </c>
      <c r="E137" s="2" t="s">
        <v>15</v>
      </c>
      <c r="F137" s="11">
        <v>46239</v>
      </c>
      <c r="G137" s="2" t="s">
        <v>16</v>
      </c>
      <c r="H137" s="3" t="s">
        <v>118</v>
      </c>
      <c r="I137" s="3" t="s">
        <v>63</v>
      </c>
      <c r="J137" s="8" t="s">
        <v>52</v>
      </c>
      <c r="K137" s="4" t="s">
        <v>306</v>
      </c>
      <c r="L137" s="4" t="str">
        <f>IFERROR(VLOOKUP(A137,[1]Hoja1!$A$2:$D$42,4,FALSE), "Sin Resp.")</f>
        <v>Falta Consumo</v>
      </c>
      <c r="M137" s="2" t="s">
        <v>20</v>
      </c>
      <c r="N137" s="3" t="s">
        <v>31</v>
      </c>
      <c r="O137" s="3" t="s">
        <v>141</v>
      </c>
      <c r="P137" s="12">
        <v>46244</v>
      </c>
      <c r="Q137" s="12">
        <v>46241</v>
      </c>
    </row>
    <row r="138" spans="1:17" x14ac:dyDescent="0.3">
      <c r="A138" s="5">
        <v>38592</v>
      </c>
      <c r="B138" s="5" t="s">
        <v>46</v>
      </c>
      <c r="C138" s="6" t="s">
        <v>14</v>
      </c>
      <c r="D138" s="5" t="s">
        <v>22</v>
      </c>
      <c r="E138" s="5" t="s">
        <v>15</v>
      </c>
      <c r="F138" s="11">
        <v>46239</v>
      </c>
      <c r="G138" s="5" t="s">
        <v>16</v>
      </c>
      <c r="H138" s="6" t="s">
        <v>118</v>
      </c>
      <c r="I138" s="6" t="s">
        <v>63</v>
      </c>
      <c r="J138" s="8" t="s">
        <v>119</v>
      </c>
      <c r="K138" s="4" t="s">
        <v>306</v>
      </c>
      <c r="L138" s="4" t="str">
        <f>IFERROR(VLOOKUP(A138,[1]Hoja1!$A$2:$D$42,4,FALSE), "Sin Resp.")</f>
        <v>Falta Consumo</v>
      </c>
      <c r="M138" s="5" t="s">
        <v>26</v>
      </c>
      <c r="N138" s="6" t="s">
        <v>31</v>
      </c>
      <c r="O138" s="6" t="s">
        <v>121</v>
      </c>
      <c r="P138" s="12">
        <v>46244</v>
      </c>
      <c r="Q138" s="12">
        <v>46241</v>
      </c>
    </row>
    <row r="139" spans="1:17" x14ac:dyDescent="0.3">
      <c r="A139" s="5">
        <v>38592</v>
      </c>
      <c r="B139" s="5" t="s">
        <v>46</v>
      </c>
      <c r="C139" s="6" t="s">
        <v>14</v>
      </c>
      <c r="D139" s="5" t="s">
        <v>22</v>
      </c>
      <c r="E139" s="5" t="s">
        <v>15</v>
      </c>
      <c r="F139" s="11">
        <v>46239</v>
      </c>
      <c r="G139" s="5" t="s">
        <v>16</v>
      </c>
      <c r="H139" s="6" t="s">
        <v>118</v>
      </c>
      <c r="I139" s="6" t="s">
        <v>63</v>
      </c>
      <c r="J139" s="8" t="s">
        <v>119</v>
      </c>
      <c r="K139" s="4" t="s">
        <v>306</v>
      </c>
      <c r="L139" s="4" t="str">
        <f>IFERROR(VLOOKUP(A139,[1]Hoja1!$A$2:$D$42,4,FALSE), "Sin Resp.")</f>
        <v>Falta Consumo</v>
      </c>
      <c r="M139" s="5" t="s">
        <v>20</v>
      </c>
      <c r="N139" s="6" t="s">
        <v>31</v>
      </c>
      <c r="O139" s="6" t="s">
        <v>121</v>
      </c>
      <c r="P139" s="12">
        <v>46244</v>
      </c>
      <c r="Q139" s="12">
        <v>46241</v>
      </c>
    </row>
    <row r="140" spans="1:17" x14ac:dyDescent="0.3">
      <c r="A140" s="15">
        <v>38596</v>
      </c>
      <c r="B140" s="15" t="s">
        <v>13</v>
      </c>
      <c r="C140" s="16" t="s">
        <v>14</v>
      </c>
      <c r="D140" s="15" t="s">
        <v>22</v>
      </c>
      <c r="E140" s="15" t="s">
        <v>15</v>
      </c>
      <c r="F140" s="17">
        <v>46240</v>
      </c>
      <c r="G140" s="15" t="s">
        <v>16</v>
      </c>
      <c r="H140" s="16" t="s">
        <v>219</v>
      </c>
      <c r="I140" s="16" t="s">
        <v>220</v>
      </c>
      <c r="J140" s="7" t="s">
        <v>95</v>
      </c>
      <c r="K140" s="4" t="s">
        <v>301</v>
      </c>
      <c r="L140" s="4"/>
      <c r="M140" s="2" t="s">
        <v>26</v>
      </c>
      <c r="N140" s="3" t="s">
        <v>27</v>
      </c>
      <c r="O140" s="20" t="s">
        <v>28</v>
      </c>
      <c r="P140" s="12">
        <v>46244</v>
      </c>
      <c r="Q140" s="12"/>
    </row>
    <row r="141" spans="1:17" ht="28.8" x14ac:dyDescent="0.3">
      <c r="A141" s="15" t="s">
        <v>292</v>
      </c>
      <c r="B141" s="15" t="s">
        <v>13</v>
      </c>
      <c r="C141" s="16" t="s">
        <v>39</v>
      </c>
      <c r="D141" s="15" t="s">
        <v>22</v>
      </c>
      <c r="E141" s="15" t="s">
        <v>15</v>
      </c>
      <c r="F141" s="17">
        <v>46240</v>
      </c>
      <c r="G141" s="15" t="s">
        <v>16</v>
      </c>
      <c r="H141" s="16" t="s">
        <v>40</v>
      </c>
      <c r="I141" s="16" t="s">
        <v>41</v>
      </c>
      <c r="J141" s="4" t="s">
        <v>242</v>
      </c>
      <c r="K141" s="4" t="s">
        <v>308</v>
      </c>
      <c r="L141" s="4"/>
      <c r="M141" s="2" t="s">
        <v>243</v>
      </c>
      <c r="N141" s="3" t="s">
        <v>244</v>
      </c>
      <c r="O141" s="20" t="s">
        <v>293</v>
      </c>
      <c r="P141" s="12">
        <v>46244</v>
      </c>
      <c r="Q141" s="12"/>
    </row>
    <row r="142" spans="1:17" ht="28.8" x14ac:dyDescent="0.3">
      <c r="A142" s="15" t="s">
        <v>292</v>
      </c>
      <c r="B142" s="15" t="s">
        <v>13</v>
      </c>
      <c r="C142" s="16" t="s">
        <v>39</v>
      </c>
      <c r="D142" s="15" t="s">
        <v>22</v>
      </c>
      <c r="E142" s="15" t="s">
        <v>15</v>
      </c>
      <c r="F142" s="17">
        <v>46240</v>
      </c>
      <c r="G142" s="15" t="s">
        <v>16</v>
      </c>
      <c r="H142" s="16" t="s">
        <v>40</v>
      </c>
      <c r="I142" s="16" t="s">
        <v>41</v>
      </c>
      <c r="J142" s="4" t="s">
        <v>242</v>
      </c>
      <c r="K142" s="4" t="s">
        <v>308</v>
      </c>
      <c r="L142" s="4"/>
      <c r="M142" s="5" t="s">
        <v>243</v>
      </c>
      <c r="N142" s="6" t="s">
        <v>244</v>
      </c>
      <c r="O142" s="21" t="s">
        <v>286</v>
      </c>
      <c r="P142" s="12">
        <v>46244</v>
      </c>
      <c r="Q142" s="12"/>
    </row>
    <row r="143" spans="1:17" ht="28.8" x14ac:dyDescent="0.3">
      <c r="A143" s="15" t="s">
        <v>292</v>
      </c>
      <c r="B143" s="15" t="s">
        <v>13</v>
      </c>
      <c r="C143" s="16" t="s">
        <v>39</v>
      </c>
      <c r="D143" s="15" t="s">
        <v>22</v>
      </c>
      <c r="E143" s="15" t="s">
        <v>15</v>
      </c>
      <c r="F143" s="17">
        <v>46240</v>
      </c>
      <c r="G143" s="15" t="s">
        <v>16</v>
      </c>
      <c r="H143" s="16" t="s">
        <v>40</v>
      </c>
      <c r="I143" s="16" t="s">
        <v>41</v>
      </c>
      <c r="J143" s="4" t="s">
        <v>242</v>
      </c>
      <c r="K143" s="4" t="s">
        <v>308</v>
      </c>
      <c r="L143" s="4"/>
      <c r="M143" s="2" t="s">
        <v>243</v>
      </c>
      <c r="N143" s="3" t="s">
        <v>244</v>
      </c>
      <c r="O143" s="20" t="s">
        <v>294</v>
      </c>
      <c r="P143" s="12">
        <v>46244</v>
      </c>
      <c r="Q143" s="12"/>
    </row>
    <row r="144" spans="1:17" ht="28.8" x14ac:dyDescent="0.3">
      <c r="A144" s="15" t="s">
        <v>292</v>
      </c>
      <c r="B144" s="15" t="s">
        <v>13</v>
      </c>
      <c r="C144" s="16" t="s">
        <v>39</v>
      </c>
      <c r="D144" s="15" t="s">
        <v>22</v>
      </c>
      <c r="E144" s="15" t="s">
        <v>15</v>
      </c>
      <c r="F144" s="17">
        <v>46240</v>
      </c>
      <c r="G144" s="15" t="s">
        <v>16</v>
      </c>
      <c r="H144" s="16" t="s">
        <v>40</v>
      </c>
      <c r="I144" s="16" t="s">
        <v>41</v>
      </c>
      <c r="J144" s="4" t="s">
        <v>242</v>
      </c>
      <c r="K144" s="4" t="s">
        <v>308</v>
      </c>
      <c r="L144" s="4"/>
      <c r="M144" s="5" t="s">
        <v>243</v>
      </c>
      <c r="N144" s="6" t="s">
        <v>244</v>
      </c>
      <c r="O144" s="21" t="s">
        <v>295</v>
      </c>
      <c r="P144" s="12">
        <v>46244</v>
      </c>
      <c r="Q144" s="12"/>
    </row>
    <row r="145" spans="1:17" ht="86.4" x14ac:dyDescent="0.3">
      <c r="A145" s="15">
        <v>38600</v>
      </c>
      <c r="B145" s="15" t="s">
        <v>13</v>
      </c>
      <c r="C145" s="16" t="s">
        <v>14</v>
      </c>
      <c r="D145" s="15" t="s">
        <v>22</v>
      </c>
      <c r="E145" s="15" t="s">
        <v>15</v>
      </c>
      <c r="F145" s="17">
        <v>46240</v>
      </c>
      <c r="G145" s="15" t="s">
        <v>16</v>
      </c>
      <c r="H145" s="16" t="s">
        <v>221</v>
      </c>
      <c r="I145" s="16" t="s">
        <v>67</v>
      </c>
      <c r="J145" s="8" t="s">
        <v>222</v>
      </c>
      <c r="K145" s="4" t="s">
        <v>306</v>
      </c>
      <c r="L145" s="4"/>
      <c r="M145" s="5" t="s">
        <v>26</v>
      </c>
      <c r="N145" s="6" t="s">
        <v>31</v>
      </c>
      <c r="O145" s="21" t="s">
        <v>223</v>
      </c>
      <c r="P145" s="12">
        <v>46244</v>
      </c>
      <c r="Q145" s="12"/>
    </row>
    <row r="146" spans="1:17" ht="86.4" x14ac:dyDescent="0.3">
      <c r="A146" s="15">
        <v>38600</v>
      </c>
      <c r="B146" s="15" t="s">
        <v>13</v>
      </c>
      <c r="C146" s="16" t="s">
        <v>14</v>
      </c>
      <c r="D146" s="15" t="s">
        <v>22</v>
      </c>
      <c r="E146" s="15" t="s">
        <v>15</v>
      </c>
      <c r="F146" s="17">
        <v>46240</v>
      </c>
      <c r="G146" s="15" t="s">
        <v>16</v>
      </c>
      <c r="H146" s="16" t="s">
        <v>221</v>
      </c>
      <c r="I146" s="16" t="s">
        <v>67</v>
      </c>
      <c r="J146" s="8" t="s">
        <v>224</v>
      </c>
      <c r="K146" s="4" t="s">
        <v>306</v>
      </c>
      <c r="L146" s="4"/>
      <c r="M146" s="2" t="s">
        <v>26</v>
      </c>
      <c r="N146" s="3" t="s">
        <v>31</v>
      </c>
      <c r="O146" s="20" t="s">
        <v>223</v>
      </c>
      <c r="P146" s="12">
        <v>46244</v>
      </c>
      <c r="Q146" s="12"/>
    </row>
    <row r="147" spans="1:17" ht="86.4" x14ac:dyDescent="0.3">
      <c r="A147" s="15">
        <v>38600</v>
      </c>
      <c r="B147" s="15" t="s">
        <v>13</v>
      </c>
      <c r="C147" s="16" t="s">
        <v>14</v>
      </c>
      <c r="D147" s="15" t="s">
        <v>22</v>
      </c>
      <c r="E147" s="15" t="s">
        <v>15</v>
      </c>
      <c r="F147" s="17">
        <v>46240</v>
      </c>
      <c r="G147" s="15" t="s">
        <v>16</v>
      </c>
      <c r="H147" s="16" t="s">
        <v>221</v>
      </c>
      <c r="I147" s="16" t="s">
        <v>67</v>
      </c>
      <c r="J147" s="8" t="s">
        <v>66</v>
      </c>
      <c r="K147" s="4" t="s">
        <v>306</v>
      </c>
      <c r="L147" s="4"/>
      <c r="M147" s="5" t="s">
        <v>20</v>
      </c>
      <c r="N147" s="6" t="s">
        <v>31</v>
      </c>
      <c r="O147" s="21" t="s">
        <v>223</v>
      </c>
      <c r="P147" s="12">
        <v>46244</v>
      </c>
      <c r="Q147" s="12"/>
    </row>
    <row r="148" spans="1:17" ht="86.4" x14ac:dyDescent="0.3">
      <c r="A148" s="15">
        <v>38600</v>
      </c>
      <c r="B148" s="15" t="s">
        <v>13</v>
      </c>
      <c r="C148" s="16" t="s">
        <v>14</v>
      </c>
      <c r="D148" s="15" t="s">
        <v>22</v>
      </c>
      <c r="E148" s="15" t="s">
        <v>15</v>
      </c>
      <c r="F148" s="17">
        <v>46240</v>
      </c>
      <c r="G148" s="15" t="s">
        <v>16</v>
      </c>
      <c r="H148" s="16" t="s">
        <v>221</v>
      </c>
      <c r="I148" s="16" t="s">
        <v>67</v>
      </c>
      <c r="J148" s="8" t="s">
        <v>225</v>
      </c>
      <c r="K148" s="4" t="s">
        <v>306</v>
      </c>
      <c r="L148" s="4"/>
      <c r="M148" s="2" t="s">
        <v>20</v>
      </c>
      <c r="N148" s="3" t="s">
        <v>31</v>
      </c>
      <c r="O148" s="20" t="s">
        <v>223</v>
      </c>
      <c r="P148" s="12">
        <v>46244</v>
      </c>
      <c r="Q148" s="12"/>
    </row>
    <row r="149" spans="1:17" ht="86.4" x14ac:dyDescent="0.3">
      <c r="A149" s="15">
        <v>38600</v>
      </c>
      <c r="B149" s="15" t="s">
        <v>13</v>
      </c>
      <c r="C149" s="16" t="s">
        <v>14</v>
      </c>
      <c r="D149" s="15" t="s">
        <v>22</v>
      </c>
      <c r="E149" s="15" t="s">
        <v>15</v>
      </c>
      <c r="F149" s="17">
        <v>46240</v>
      </c>
      <c r="G149" s="15" t="s">
        <v>16</v>
      </c>
      <c r="H149" s="16" t="s">
        <v>221</v>
      </c>
      <c r="I149" s="16" t="s">
        <v>67</v>
      </c>
      <c r="J149" s="8" t="s">
        <v>135</v>
      </c>
      <c r="K149" s="4" t="s">
        <v>306</v>
      </c>
      <c r="L149" s="4"/>
      <c r="M149" s="5" t="s">
        <v>26</v>
      </c>
      <c r="N149" s="6" t="s">
        <v>31</v>
      </c>
      <c r="O149" s="21" t="s">
        <v>223</v>
      </c>
      <c r="P149" s="12">
        <v>46244</v>
      </c>
      <c r="Q149" s="12" t="s">
        <v>304</v>
      </c>
    </row>
    <row r="150" spans="1:17" ht="86.4" x14ac:dyDescent="0.3">
      <c r="A150" s="15">
        <v>38600</v>
      </c>
      <c r="B150" s="15" t="s">
        <v>13</v>
      </c>
      <c r="C150" s="16" t="s">
        <v>14</v>
      </c>
      <c r="D150" s="15" t="s">
        <v>22</v>
      </c>
      <c r="E150" s="15" t="s">
        <v>15</v>
      </c>
      <c r="F150" s="17">
        <v>46240</v>
      </c>
      <c r="G150" s="15" t="s">
        <v>16</v>
      </c>
      <c r="H150" s="16" t="s">
        <v>221</v>
      </c>
      <c r="I150" s="16" t="s">
        <v>67</v>
      </c>
      <c r="J150" s="8" t="s">
        <v>226</v>
      </c>
      <c r="K150" s="4" t="s">
        <v>306</v>
      </c>
      <c r="L150" s="4"/>
      <c r="M150" s="2" t="s">
        <v>26</v>
      </c>
      <c r="N150" s="3" t="s">
        <v>31</v>
      </c>
      <c r="O150" s="20" t="s">
        <v>223</v>
      </c>
      <c r="P150" s="12">
        <v>46244</v>
      </c>
      <c r="Q150" s="12"/>
    </row>
    <row r="151" spans="1:17" ht="86.4" x14ac:dyDescent="0.3">
      <c r="A151" s="15">
        <v>38600</v>
      </c>
      <c r="B151" s="15" t="s">
        <v>13</v>
      </c>
      <c r="C151" s="16" t="s">
        <v>14</v>
      </c>
      <c r="D151" s="15" t="s">
        <v>22</v>
      </c>
      <c r="E151" s="15" t="s">
        <v>15</v>
      </c>
      <c r="F151" s="17">
        <v>46240</v>
      </c>
      <c r="G151" s="15" t="s">
        <v>16</v>
      </c>
      <c r="H151" s="16" t="s">
        <v>221</v>
      </c>
      <c r="I151" s="16" t="s">
        <v>67</v>
      </c>
      <c r="J151" s="8" t="s">
        <v>101</v>
      </c>
      <c r="K151" s="4" t="s">
        <v>306</v>
      </c>
      <c r="L151" s="4"/>
      <c r="M151" s="5" t="s">
        <v>26</v>
      </c>
      <c r="N151" s="6" t="s">
        <v>31</v>
      </c>
      <c r="O151" s="21" t="s">
        <v>223</v>
      </c>
      <c r="P151" s="12">
        <v>46244</v>
      </c>
      <c r="Q151" s="12"/>
    </row>
    <row r="152" spans="1:17" ht="86.4" x14ac:dyDescent="0.3">
      <c r="A152" s="15">
        <v>38600</v>
      </c>
      <c r="B152" s="15" t="s">
        <v>13</v>
      </c>
      <c r="C152" s="16" t="s">
        <v>14</v>
      </c>
      <c r="D152" s="15" t="s">
        <v>22</v>
      </c>
      <c r="E152" s="15" t="s">
        <v>15</v>
      </c>
      <c r="F152" s="17">
        <v>46240</v>
      </c>
      <c r="G152" s="15" t="s">
        <v>16</v>
      </c>
      <c r="H152" s="16" t="s">
        <v>221</v>
      </c>
      <c r="I152" s="16" t="s">
        <v>67</v>
      </c>
      <c r="J152" s="8" t="s">
        <v>227</v>
      </c>
      <c r="K152" s="4" t="s">
        <v>301</v>
      </c>
      <c r="L152" s="4"/>
      <c r="M152" s="2" t="s">
        <v>26</v>
      </c>
      <c r="N152" s="3" t="s">
        <v>31</v>
      </c>
      <c r="O152" s="20" t="s">
        <v>223</v>
      </c>
      <c r="P152" s="12">
        <v>46244</v>
      </c>
      <c r="Q152" s="12"/>
    </row>
    <row r="153" spans="1:17" ht="86.4" x14ac:dyDescent="0.3">
      <c r="A153" s="15">
        <v>38600</v>
      </c>
      <c r="B153" s="15" t="s">
        <v>13</v>
      </c>
      <c r="C153" s="16" t="s">
        <v>14</v>
      </c>
      <c r="D153" s="15" t="s">
        <v>22</v>
      </c>
      <c r="E153" s="15" t="s">
        <v>15</v>
      </c>
      <c r="F153" s="17">
        <v>46240</v>
      </c>
      <c r="G153" s="15" t="s">
        <v>16</v>
      </c>
      <c r="H153" s="16" t="s">
        <v>221</v>
      </c>
      <c r="I153" s="16" t="s">
        <v>67</v>
      </c>
      <c r="J153" s="8" t="s">
        <v>146</v>
      </c>
      <c r="K153" s="4" t="s">
        <v>306</v>
      </c>
      <c r="L153" s="4"/>
      <c r="M153" s="2" t="s">
        <v>20</v>
      </c>
      <c r="N153" s="3" t="s">
        <v>31</v>
      </c>
      <c r="O153" s="20" t="s">
        <v>223</v>
      </c>
      <c r="P153" s="12">
        <v>46244</v>
      </c>
      <c r="Q153" s="12"/>
    </row>
    <row r="154" spans="1:17" ht="86.4" x14ac:dyDescent="0.3">
      <c r="A154" s="15">
        <v>38600</v>
      </c>
      <c r="B154" s="15" t="s">
        <v>13</v>
      </c>
      <c r="C154" s="16" t="s">
        <v>14</v>
      </c>
      <c r="D154" s="15" t="s">
        <v>22</v>
      </c>
      <c r="E154" s="15" t="s">
        <v>15</v>
      </c>
      <c r="F154" s="17">
        <v>46240</v>
      </c>
      <c r="G154" s="15" t="s">
        <v>16</v>
      </c>
      <c r="H154" s="16" t="s">
        <v>221</v>
      </c>
      <c r="I154" s="16" t="s">
        <v>67</v>
      </c>
      <c r="J154" s="8" t="s">
        <v>228</v>
      </c>
      <c r="K154" s="4" t="s">
        <v>306</v>
      </c>
      <c r="L154" s="4"/>
      <c r="M154" s="5" t="s">
        <v>26</v>
      </c>
      <c r="N154" s="6" t="s">
        <v>31</v>
      </c>
      <c r="O154" s="21" t="s">
        <v>223</v>
      </c>
      <c r="P154" s="12">
        <v>46244</v>
      </c>
      <c r="Q154" s="12"/>
    </row>
    <row r="155" spans="1:17" x14ac:dyDescent="0.3">
      <c r="A155" s="15">
        <v>38608</v>
      </c>
      <c r="B155" s="15" t="s">
        <v>13</v>
      </c>
      <c r="C155" s="16" t="s">
        <v>39</v>
      </c>
      <c r="D155" s="15" t="s">
        <v>22</v>
      </c>
      <c r="E155" s="15" t="s">
        <v>15</v>
      </c>
      <c r="F155" s="17">
        <v>46240</v>
      </c>
      <c r="G155" s="25" t="s">
        <v>16</v>
      </c>
      <c r="H155" s="16" t="s">
        <v>229</v>
      </c>
      <c r="I155" s="16" t="s">
        <v>107</v>
      </c>
      <c r="J155" s="4" t="s">
        <v>42</v>
      </c>
      <c r="K155" s="4" t="s">
        <v>301</v>
      </c>
      <c r="L155" s="4"/>
      <c r="M155" s="5" t="s">
        <v>26</v>
      </c>
      <c r="N155" s="6" t="s">
        <v>230</v>
      </c>
      <c r="O155" s="21" t="s">
        <v>231</v>
      </c>
      <c r="P155" s="12">
        <v>46244</v>
      </c>
      <c r="Q155" s="12"/>
    </row>
    <row r="156" spans="1:17" ht="28.8" x14ac:dyDescent="0.3">
      <c r="A156" s="15" t="s">
        <v>296</v>
      </c>
      <c r="B156" s="15" t="s">
        <v>13</v>
      </c>
      <c r="C156" s="16" t="s">
        <v>39</v>
      </c>
      <c r="D156" s="15" t="s">
        <v>22</v>
      </c>
      <c r="E156" s="15" t="s">
        <v>15</v>
      </c>
      <c r="F156" s="17">
        <v>46240</v>
      </c>
      <c r="G156" s="15" t="s">
        <v>16</v>
      </c>
      <c r="H156" s="16" t="s">
        <v>229</v>
      </c>
      <c r="I156" s="16" t="s">
        <v>107</v>
      </c>
      <c r="J156" s="4" t="s">
        <v>242</v>
      </c>
      <c r="K156" s="4" t="s">
        <v>304</v>
      </c>
      <c r="L156" s="4"/>
      <c r="M156" s="2" t="s">
        <v>243</v>
      </c>
      <c r="N156" s="3" t="s">
        <v>244</v>
      </c>
      <c r="O156" s="20" t="s">
        <v>297</v>
      </c>
      <c r="P156" s="12">
        <v>46244</v>
      </c>
      <c r="Q156" s="12"/>
    </row>
    <row r="157" spans="1:17" x14ac:dyDescent="0.3">
      <c r="A157" s="15">
        <v>38610</v>
      </c>
      <c r="B157" s="15" t="s">
        <v>13</v>
      </c>
      <c r="C157" s="16" t="s">
        <v>39</v>
      </c>
      <c r="D157" s="15" t="s">
        <v>22</v>
      </c>
      <c r="E157" s="15" t="s">
        <v>15</v>
      </c>
      <c r="F157" s="17">
        <v>46240</v>
      </c>
      <c r="G157" s="25" t="s">
        <v>16</v>
      </c>
      <c r="H157" s="16" t="s">
        <v>232</v>
      </c>
      <c r="I157" s="16" t="s">
        <v>93</v>
      </c>
      <c r="J157" s="7" t="s">
        <v>77</v>
      </c>
      <c r="K157" s="4" t="s">
        <v>301</v>
      </c>
      <c r="L157" s="4"/>
      <c r="M157" s="2" t="s">
        <v>26</v>
      </c>
      <c r="N157" s="3" t="s">
        <v>27</v>
      </c>
      <c r="O157" s="20" t="s">
        <v>28</v>
      </c>
      <c r="P157" s="12">
        <v>46244</v>
      </c>
      <c r="Q157" s="12"/>
    </row>
    <row r="158" spans="1:17" x14ac:dyDescent="0.3">
      <c r="A158" s="15">
        <v>38610</v>
      </c>
      <c r="B158" s="15" t="s">
        <v>13</v>
      </c>
      <c r="C158" s="16" t="s">
        <v>39</v>
      </c>
      <c r="D158" s="15" t="s">
        <v>22</v>
      </c>
      <c r="E158" s="15" t="s">
        <v>15</v>
      </c>
      <c r="F158" s="17">
        <v>46240</v>
      </c>
      <c r="G158" s="15" t="s">
        <v>16</v>
      </c>
      <c r="H158" s="16" t="s">
        <v>232</v>
      </c>
      <c r="I158" s="16" t="s">
        <v>93</v>
      </c>
      <c r="J158" s="7" t="s">
        <v>42</v>
      </c>
      <c r="K158" s="4" t="s">
        <v>301</v>
      </c>
      <c r="L158" s="4"/>
      <c r="M158" s="5" t="s">
        <v>26</v>
      </c>
      <c r="N158" s="6" t="s">
        <v>27</v>
      </c>
      <c r="O158" s="21" t="s">
        <v>28</v>
      </c>
      <c r="P158" s="12">
        <v>46244</v>
      </c>
      <c r="Q158" s="12"/>
    </row>
    <row r="159" spans="1:17" x14ac:dyDescent="0.3">
      <c r="A159" s="15">
        <v>38612</v>
      </c>
      <c r="B159" s="15" t="s">
        <v>13</v>
      </c>
      <c r="C159" s="16" t="s">
        <v>39</v>
      </c>
      <c r="D159" s="15" t="s">
        <v>22</v>
      </c>
      <c r="E159" s="15" t="s">
        <v>15</v>
      </c>
      <c r="F159" s="17">
        <v>46240</v>
      </c>
      <c r="G159" s="15" t="s">
        <v>16</v>
      </c>
      <c r="H159" s="16" t="s">
        <v>233</v>
      </c>
      <c r="I159" s="16" t="s">
        <v>93</v>
      </c>
      <c r="J159" s="7" t="s">
        <v>77</v>
      </c>
      <c r="K159" s="4" t="s">
        <v>301</v>
      </c>
      <c r="L159" s="4"/>
      <c r="M159" s="2" t="s">
        <v>26</v>
      </c>
      <c r="N159" s="3" t="s">
        <v>27</v>
      </c>
      <c r="O159" s="20" t="s">
        <v>28</v>
      </c>
      <c r="P159" s="12">
        <v>46244</v>
      </c>
      <c r="Q159" s="12"/>
    </row>
    <row r="160" spans="1:17" x14ac:dyDescent="0.3">
      <c r="A160" s="15">
        <v>38612</v>
      </c>
      <c r="B160" s="15" t="s">
        <v>13</v>
      </c>
      <c r="C160" s="16" t="s">
        <v>39</v>
      </c>
      <c r="D160" s="15" t="s">
        <v>22</v>
      </c>
      <c r="E160" s="15" t="s">
        <v>15</v>
      </c>
      <c r="F160" s="17">
        <v>46240</v>
      </c>
      <c r="G160" s="15" t="s">
        <v>16</v>
      </c>
      <c r="H160" s="16" t="s">
        <v>233</v>
      </c>
      <c r="I160" s="16" t="s">
        <v>93</v>
      </c>
      <c r="J160" s="7" t="s">
        <v>42</v>
      </c>
      <c r="K160" s="4" t="s">
        <v>301</v>
      </c>
      <c r="L160" s="4"/>
      <c r="M160" s="5" t="s">
        <v>26</v>
      </c>
      <c r="N160" s="6" t="s">
        <v>27</v>
      </c>
      <c r="O160" s="21" t="s">
        <v>28</v>
      </c>
      <c r="P160" s="12">
        <v>46244</v>
      </c>
      <c r="Q160" s="12"/>
    </row>
    <row r="161" spans="1:18" ht="43.2" x14ac:dyDescent="0.3">
      <c r="A161" s="15">
        <v>38622</v>
      </c>
      <c r="B161" s="15" t="s">
        <v>13</v>
      </c>
      <c r="C161" s="16" t="s">
        <v>14</v>
      </c>
      <c r="D161" s="15" t="s">
        <v>22</v>
      </c>
      <c r="E161" s="15" t="s">
        <v>15</v>
      </c>
      <c r="F161" s="17">
        <v>46240</v>
      </c>
      <c r="G161" s="15" t="s">
        <v>16</v>
      </c>
      <c r="H161" s="16" t="s">
        <v>139</v>
      </c>
      <c r="I161" s="16" t="s">
        <v>25</v>
      </c>
      <c r="J161" s="8" t="s">
        <v>19</v>
      </c>
      <c r="K161" s="4" t="s">
        <v>304</v>
      </c>
      <c r="L161" s="4"/>
      <c r="M161" s="2" t="s">
        <v>26</v>
      </c>
      <c r="N161" s="3" t="s">
        <v>31</v>
      </c>
      <c r="O161" s="20" t="s">
        <v>234</v>
      </c>
      <c r="P161" s="12">
        <v>46244</v>
      </c>
      <c r="Q161" s="12"/>
    </row>
    <row r="162" spans="1:18" ht="43.2" x14ac:dyDescent="0.3">
      <c r="A162" s="15">
        <v>38622</v>
      </c>
      <c r="B162" s="15" t="s">
        <v>13</v>
      </c>
      <c r="C162" s="16" t="s">
        <v>14</v>
      </c>
      <c r="D162" s="15" t="s">
        <v>22</v>
      </c>
      <c r="E162" s="15" t="s">
        <v>15</v>
      </c>
      <c r="F162" s="17">
        <v>46240</v>
      </c>
      <c r="G162" s="15" t="s">
        <v>16</v>
      </c>
      <c r="H162" s="16" t="s">
        <v>139</v>
      </c>
      <c r="I162" s="16" t="s">
        <v>25</v>
      </c>
      <c r="J162" s="8" t="s">
        <v>235</v>
      </c>
      <c r="K162" s="4" t="s">
        <v>304</v>
      </c>
      <c r="L162" s="4"/>
      <c r="M162" s="5" t="s">
        <v>26</v>
      </c>
      <c r="N162" s="6" t="s">
        <v>31</v>
      </c>
      <c r="O162" s="21" t="s">
        <v>234</v>
      </c>
      <c r="P162" s="12">
        <v>46244</v>
      </c>
      <c r="Q162" s="12"/>
    </row>
    <row r="163" spans="1:18" ht="43.2" x14ac:dyDescent="0.3">
      <c r="A163" s="15">
        <v>38624</v>
      </c>
      <c r="B163" s="15" t="s">
        <v>13</v>
      </c>
      <c r="C163" s="16" t="s">
        <v>14</v>
      </c>
      <c r="D163" s="15" t="s">
        <v>22</v>
      </c>
      <c r="E163" s="15" t="s">
        <v>15</v>
      </c>
      <c r="F163" s="17">
        <v>46240</v>
      </c>
      <c r="G163" s="15" t="s">
        <v>16</v>
      </c>
      <c r="H163" s="16" t="s">
        <v>85</v>
      </c>
      <c r="I163" s="16" t="s">
        <v>37</v>
      </c>
      <c r="J163" s="4" t="s">
        <v>236</v>
      </c>
      <c r="K163" s="4" t="s">
        <v>304</v>
      </c>
      <c r="L163" s="4"/>
      <c r="M163" s="2" t="s">
        <v>26</v>
      </c>
      <c r="N163" s="3" t="s">
        <v>237</v>
      </c>
      <c r="O163" s="20" t="s">
        <v>238</v>
      </c>
      <c r="P163" s="12">
        <v>46244</v>
      </c>
      <c r="Q163" s="12"/>
      <c r="R163" t="s">
        <v>304</v>
      </c>
    </row>
    <row r="164" spans="1:18" ht="43.2" x14ac:dyDescent="0.3">
      <c r="A164" s="15">
        <v>38625</v>
      </c>
      <c r="B164" s="15" t="s">
        <v>46</v>
      </c>
      <c r="C164" s="16" t="s">
        <v>14</v>
      </c>
      <c r="D164" s="15" t="s">
        <v>22</v>
      </c>
      <c r="E164" s="15" t="s">
        <v>15</v>
      </c>
      <c r="F164" s="17">
        <v>46240</v>
      </c>
      <c r="G164" s="15" t="s">
        <v>16</v>
      </c>
      <c r="H164" s="16" t="s">
        <v>85</v>
      </c>
      <c r="I164" s="16" t="s">
        <v>37</v>
      </c>
      <c r="J164" s="4" t="s">
        <v>48</v>
      </c>
      <c r="K164" s="4" t="s">
        <v>303</v>
      </c>
      <c r="L164" s="4"/>
      <c r="M164" s="5" t="s">
        <v>20</v>
      </c>
      <c r="N164" s="6" t="s">
        <v>49</v>
      </c>
      <c r="O164" s="21" t="s">
        <v>239</v>
      </c>
      <c r="P164" s="12">
        <v>46244</v>
      </c>
      <c r="Q164" s="12"/>
      <c r="R164" t="s">
        <v>304</v>
      </c>
    </row>
    <row r="165" spans="1:18" ht="28.8" x14ac:dyDescent="0.3">
      <c r="A165" s="15">
        <v>38626</v>
      </c>
      <c r="B165" s="15" t="s">
        <v>46</v>
      </c>
      <c r="C165" s="16" t="s">
        <v>14</v>
      </c>
      <c r="D165" s="15" t="s">
        <v>22</v>
      </c>
      <c r="E165" s="15" t="s">
        <v>15</v>
      </c>
      <c r="F165" s="17">
        <v>46240</v>
      </c>
      <c r="G165" s="15" t="s">
        <v>16</v>
      </c>
      <c r="H165" s="16" t="s">
        <v>85</v>
      </c>
      <c r="I165" s="16" t="s">
        <v>37</v>
      </c>
      <c r="J165" s="4" t="s">
        <v>52</v>
      </c>
      <c r="K165" s="4" t="s">
        <v>303</v>
      </c>
      <c r="L165" s="4"/>
      <c r="M165" s="2" t="s">
        <v>20</v>
      </c>
      <c r="N165" s="3" t="s">
        <v>53</v>
      </c>
      <c r="O165" s="20" t="s">
        <v>240</v>
      </c>
      <c r="P165" s="12">
        <v>46244</v>
      </c>
      <c r="Q165" s="12"/>
      <c r="R165" t="s">
        <v>304</v>
      </c>
    </row>
    <row r="166" spans="1:18" ht="57.6" x14ac:dyDescent="0.3">
      <c r="A166" s="15">
        <v>38629</v>
      </c>
      <c r="B166" s="15" t="s">
        <v>13</v>
      </c>
      <c r="C166" s="16" t="s">
        <v>14</v>
      </c>
      <c r="D166" s="15" t="s">
        <v>22</v>
      </c>
      <c r="E166" s="15" t="s">
        <v>15</v>
      </c>
      <c r="F166" s="17">
        <v>46240</v>
      </c>
      <c r="G166" s="15" t="s">
        <v>16</v>
      </c>
      <c r="H166" s="16" t="s">
        <v>140</v>
      </c>
      <c r="I166" s="16" t="s">
        <v>54</v>
      </c>
      <c r="J166" s="8" t="s">
        <v>19</v>
      </c>
      <c r="K166" s="4" t="s">
        <v>304</v>
      </c>
      <c r="L166" s="4"/>
      <c r="M166" s="5" t="s">
        <v>26</v>
      </c>
      <c r="N166" s="6" t="s">
        <v>31</v>
      </c>
      <c r="O166" s="21" t="s">
        <v>241</v>
      </c>
      <c r="P166" s="12">
        <v>46244</v>
      </c>
      <c r="Q166" s="12"/>
      <c r="R166" t="s">
        <v>304</v>
      </c>
    </row>
    <row r="167" spans="1:18" ht="57.6" x14ac:dyDescent="0.3">
      <c r="A167" s="15">
        <v>38629</v>
      </c>
      <c r="B167" s="15" t="s">
        <v>13</v>
      </c>
      <c r="C167" s="16" t="s">
        <v>14</v>
      </c>
      <c r="D167" s="15" t="s">
        <v>22</v>
      </c>
      <c r="E167" s="15" t="s">
        <v>15</v>
      </c>
      <c r="F167" s="17">
        <v>46240</v>
      </c>
      <c r="G167" s="15" t="s">
        <v>16</v>
      </c>
      <c r="H167" s="16" t="s">
        <v>140</v>
      </c>
      <c r="I167" s="16" t="s">
        <v>54</v>
      </c>
      <c r="J167" s="8" t="s">
        <v>92</v>
      </c>
      <c r="K167" s="4" t="s">
        <v>304</v>
      </c>
      <c r="L167" s="4"/>
      <c r="M167" s="2" t="s">
        <v>26</v>
      </c>
      <c r="N167" s="3" t="s">
        <v>31</v>
      </c>
      <c r="O167" s="20" t="s">
        <v>241</v>
      </c>
      <c r="P167" s="12">
        <v>46244</v>
      </c>
      <c r="Q167" s="12"/>
      <c r="R167" t="s">
        <v>304</v>
      </c>
    </row>
    <row r="168" spans="1:18" ht="57.6" x14ac:dyDescent="0.3">
      <c r="A168" s="15">
        <v>38629</v>
      </c>
      <c r="B168" s="15" t="s">
        <v>13</v>
      </c>
      <c r="C168" s="16" t="s">
        <v>14</v>
      </c>
      <c r="D168" s="15" t="s">
        <v>22</v>
      </c>
      <c r="E168" s="15" t="s">
        <v>15</v>
      </c>
      <c r="F168" s="17">
        <v>46240</v>
      </c>
      <c r="G168" s="15" t="s">
        <v>16</v>
      </c>
      <c r="H168" s="16" t="s">
        <v>140</v>
      </c>
      <c r="I168" s="16" t="s">
        <v>54</v>
      </c>
      <c r="J168" s="8" t="s">
        <v>136</v>
      </c>
      <c r="K168" s="4" t="s">
        <v>304</v>
      </c>
      <c r="L168" s="4"/>
      <c r="M168" s="5" t="s">
        <v>26</v>
      </c>
      <c r="N168" s="6" t="s">
        <v>31</v>
      </c>
      <c r="O168" s="21" t="s">
        <v>241</v>
      </c>
      <c r="P168" s="12">
        <v>46244</v>
      </c>
      <c r="Q168" s="12"/>
      <c r="R168" t="s">
        <v>304</v>
      </c>
    </row>
    <row r="169" spans="1:18" ht="86.4" x14ac:dyDescent="0.3">
      <c r="A169" s="15">
        <v>38634</v>
      </c>
      <c r="B169" s="15" t="s">
        <v>13</v>
      </c>
      <c r="C169" s="16" t="s">
        <v>14</v>
      </c>
      <c r="D169" s="15" t="s">
        <v>22</v>
      </c>
      <c r="E169" s="15" t="s">
        <v>15</v>
      </c>
      <c r="F169" s="17">
        <v>46241</v>
      </c>
      <c r="G169" s="15" t="s">
        <v>16</v>
      </c>
      <c r="H169" s="16" t="s">
        <v>70</v>
      </c>
      <c r="I169" s="16" t="s">
        <v>68</v>
      </c>
      <c r="J169" s="4" t="s">
        <v>154</v>
      </c>
      <c r="K169" s="4" t="s">
        <v>301</v>
      </c>
      <c r="L169" s="4"/>
      <c r="M169" s="2" t="s">
        <v>26</v>
      </c>
      <c r="N169" s="3" t="s">
        <v>155</v>
      </c>
      <c r="O169" s="20" t="s">
        <v>156</v>
      </c>
      <c r="P169" s="12">
        <v>46244</v>
      </c>
      <c r="Q169" s="12"/>
    </row>
    <row r="170" spans="1:18" x14ac:dyDescent="0.3">
      <c r="Q170" s="12"/>
    </row>
  </sheetData>
  <autoFilter ref="A1:R170"/>
  <sortState ref="A2:M678">
    <sortCondition ref="F2:F678"/>
    <sortCondition ref="A2:A678"/>
  </sortState>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Auditoría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2026-08-10T14:50:11Z</dcterms:created>
  <dcterms:modified xsi:type="dcterms:W3CDTF">2026-08-10T15:43:10Z</dcterms:modified>
  <cp:category/>
</cp:coreProperties>
</file>