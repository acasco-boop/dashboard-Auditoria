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0" yWindow="0" windowWidth="23040" windowHeight="9072"/>
  </bookViews>
  <sheets>
    <sheet name="Auditoría" sheetId="1" r:id="rId1"/>
  </sheets>
  <externalReferences>
    <externalReference r:id="rId2"/>
  </externalReferences>
  <definedNames>
    <definedName name="_xlnm._FilterDatabase" localSheetId="0" hidden="1">Auditoría!$A$1:$N$582</definedName>
  </definedNames>
  <calcPr calcId="162913"/>
</workbook>
</file>

<file path=xl/calcChain.xml><?xml version="1.0" encoding="utf-8"?>
<calcChain xmlns="http://schemas.openxmlformats.org/spreadsheetml/2006/main">
  <c r="N582" i="1" l="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alcChain>
</file>

<file path=xl/sharedStrings.xml><?xml version="1.0" encoding="utf-8"?>
<sst xmlns="http://schemas.openxmlformats.org/spreadsheetml/2006/main" count="5812" uniqueCount="892">
  <si>
    <t>Nro. Orden</t>
  </si>
  <si>
    <t>Tipo de orden</t>
  </si>
  <si>
    <t>Centros de costos</t>
  </si>
  <si>
    <t>Contabilizada</t>
  </si>
  <si>
    <t>Fecha de la orden</t>
  </si>
  <si>
    <t>Status de documento</t>
  </si>
  <si>
    <t>Equipo</t>
  </si>
  <si>
    <t>Nombre Equipo</t>
  </si>
  <si>
    <t>Tarea</t>
  </si>
  <si>
    <t>Estado Tarea</t>
  </si>
  <si>
    <t>Tipo de Hallazgo</t>
  </si>
  <si>
    <t>Detalle</t>
  </si>
  <si>
    <t>Correctivo</t>
  </si>
  <si>
    <t>CIUD</t>
  </si>
  <si>
    <t>No</t>
  </si>
  <si>
    <t>O</t>
  </si>
  <si>
    <t>OHH595</t>
  </si>
  <si>
    <t>ATRON 1720</t>
  </si>
  <si>
    <t>Terminada</t>
  </si>
  <si>
    <t>JKQ774</t>
  </si>
  <si>
    <t>ATEGO 1418</t>
  </si>
  <si>
    <t>Cambiar Faros De Aleron</t>
  </si>
  <si>
    <t>2) Desconexión de material (Falta 'LAMPARA', 'OPTICA')</t>
  </si>
  <si>
    <t>Materiales cargados no coinciden: MEMBRANA GEOTEXTIL MARCA EMAPI W450 X 40 KGS, REMACHE POP ALUMINIO DE 5MM DIAMETRO X 20MM LARGO, TERMINAL OJAL DE 6MM, SENSOR DE PRESION DE ACEITE MB AXOR 1933 (A 011 153 92 28) ORIGINAL, SENSOR DE PRESION DE ACEITE MB 1725 (A 011 153 92 28) ORIGINAL, ARANDELA DE ALUMINIO 16MM, CAÑO FLEXIBLE DE FILTRO DE AIRE A TURBO MB 1418 (A 970 528 08 82) - RESERPLASTIC, RADIADOR DE CALEFACCION MB AXOR 1933/ATEGO 1725 (000 830 34 20/383) ORIGINAL</t>
  </si>
  <si>
    <t>Cambiar Manguera de Base de Filtro de Aire</t>
  </si>
  <si>
    <t>2) Desconexión de material (Falta 'MANGUERA')</t>
  </si>
  <si>
    <t>Si</t>
  </si>
  <si>
    <t>C</t>
  </si>
  <si>
    <t>GJC631</t>
  </si>
  <si>
    <t>1624</t>
  </si>
  <si>
    <t>Cambio Bateria 12V Usadas</t>
  </si>
  <si>
    <t>1) Orden sin repuestos asignados</t>
  </si>
  <si>
    <t>Ningún material cargado en la orden</t>
  </si>
  <si>
    <t>Preventivo</t>
  </si>
  <si>
    <t>Cambio De Filtro Gas Oíl Y Trampa De Agua</t>
  </si>
  <si>
    <t>2) Desconexión de material (Falta 'EXTREMO')</t>
  </si>
  <si>
    <t>Materiales cargados no coinciden: FILTRO DE COMBUSTIBLE MANN PU1046/1X</t>
  </si>
  <si>
    <t>JEB636</t>
  </si>
  <si>
    <t>ATEGO 1725</t>
  </si>
  <si>
    <t>Cambiar Gobernadora</t>
  </si>
  <si>
    <t>Materiales cargados no coinciden: ARANDELA ALUMINIO 14MM, BATERIA 12V 100A - MOURA, TERMINAL OJAL DE 6MM, ACEITE 15W40 XV300 X 205LT (TAMBOR), TUERCA DE 10MM PASO 1,5 (DUREZA 8,8), ARANDELA 3/4, ARANDELA PLANAS DE 10MM, HIDRO ATF B 20 (125480), FILTRO DE AIRE APU - MANN TB1394/16X, REPARACION DE VALVULA DISTRIBUIDORA (ART. REPARADO), COMPRESOR MONOCILINDRICO MB 1933 - VADEN (1100045020)</t>
  </si>
  <si>
    <t>AF371BG</t>
  </si>
  <si>
    <t>PALETERO S.PA.3E.71 2+1</t>
  </si>
  <si>
    <t>Cambiar Cinta Frenos 3Eje Lado Izq</t>
  </si>
  <si>
    <t>2) Desconexión de material (Falta 'CINTA FRENOS')</t>
  </si>
  <si>
    <t>Materiales cargados no coinciden: PRECINTOS GRETEL 400X4,8MM X 100 UNI, TORNILLO PUNTA MECHA CABEZA HEXAGONAL 5/16 X 1" X UN, TORNILLO PUNTA MECHA CABEZA HEXAGONAL 5/16 X 1" X UN, FARO LED COMPLETO (C/FICHA) BAIML 1010E (AMBAR)</t>
  </si>
  <si>
    <t>AD426HV</t>
  </si>
  <si>
    <t>AXOR 2541</t>
  </si>
  <si>
    <t>Materiales cargados no coinciden: FILTRO DE COMBUSTIBLE MANN PU999/1X, FILTRO TRAMPA DE AGUA MB 1933S (A 000 470 24 90) - RE160JQII - MARCA RAMA</t>
  </si>
  <si>
    <t>KHS012</t>
  </si>
  <si>
    <t>Cambiar Cubiertas Tras. Motriz TII Desarme y Arme</t>
  </si>
  <si>
    <t>2) Desconexión de material (Falta 'LONA', 'CHAPA')</t>
  </si>
  <si>
    <t>Materiales cargados no coinciden: BATERIA 12V 100A - MOURA (ME100HA), RECAPADO NEUMATICO 275</t>
  </si>
  <si>
    <t>JWV379</t>
  </si>
  <si>
    <t>Colocar Soporte Cabina</t>
  </si>
  <si>
    <t>2) Desconexión de material (Falta 'CADENA')</t>
  </si>
  <si>
    <t>Materiales cargados no coinciden: REPARACION DE TURBO MB (ART. REPARADO), INTERCOOLER MB ATEGO 1418 (A 970 501 02 01) - MAHLE (CI 293 000P), CORREA 8PK 1370, TUERCA DE 8MM, DIAFRAGMA DE TAPA DE VALVULAS MB ELECTRONICO (A 000 018 01 33) ORIGINAL, JUNTA DE TAPA DE VALVULAS MB 1318 (904) - ELRING, REPARACION DE ALTERNADOR 24V (Art. Reparado), JUNTA DE MULTIPLE DE ESCAPE (OM926) MB AXOR 1933 (A 926 147 03 33) ORIGINAL, TUERCA DE 10MM PASO 1,5 (DUREZA 8,8), ESPARRAGO M10x41 MM P1.50-1.25 DOBLE ROSCA ACERO USO TURBO, LIQUIDO REFRIGERANTE KRIOX INORGANICO X 1000LTS</t>
  </si>
  <si>
    <t>BSAS</t>
  </si>
  <si>
    <t>AG176NA</t>
  </si>
  <si>
    <t>TECTOR 160E21</t>
  </si>
  <si>
    <t>Colocacion de cintas reflactarias y calcos</t>
  </si>
  <si>
    <t>No iniciada</t>
  </si>
  <si>
    <t>Tercero</t>
  </si>
  <si>
    <t>MNZA</t>
  </si>
  <si>
    <t>AG255NH</t>
  </si>
  <si>
    <t>FTHDCFW3</t>
  </si>
  <si>
    <t>Cambiar Hoja De Elastico</t>
  </si>
  <si>
    <t>KAV644</t>
  </si>
  <si>
    <t>Cambiar Lampara De Giro</t>
  </si>
  <si>
    <t>3) Planificado sin Salida física (Salidas = 0)</t>
  </si>
  <si>
    <t>Materiales planificados con Salida Cero: LAMPARA 24V 21W</t>
  </si>
  <si>
    <t>OAF636</t>
  </si>
  <si>
    <t>16-BDAS. VOLC. 3 EJES</t>
  </si>
  <si>
    <t>Cambiar Porta Lampara Faro Colgate</t>
  </si>
  <si>
    <t>2) Desconexión de material (Falta 'OPTICA')</t>
  </si>
  <si>
    <t>Materiales cargados no coinciden: RECAPADO NEUMATICO 295, LAMPARA 24V 5W (S/CULOTE) - NEOLUX, FICHA HEMBRA 12V 7 VIAS METAL, LAMPARA 24V 21/5W, TERMINAL PALA HEMBRA 6.3MM, PORTA LAMPARA DE 2 POLOS - ORO</t>
  </si>
  <si>
    <t>AF743LB</t>
  </si>
  <si>
    <t>ATEGO 1729</t>
  </si>
  <si>
    <t>Cambiar lampra 21/5w 24v</t>
  </si>
  <si>
    <t>Materiales cargados no coinciden: PORTA FUSIBLE AEREO - ORO (1057), LAMPARA 24V 21/5W  - HELLA, ESCOBILLA LIMPIA PARABRISAS 24" - BOSCH (B172), LAMPARA 24V 5W (C/CULOTE) - NEOLUX, LAMPARA 24V 5W (C/CULOTE) - NEOLUX, ABRAZADERA PARA COJINETE DE CABINA MB 1418/1725/1726/1721/1729 (A 958 317 01 25) ORIGINAL, REPARACION DE MODULO PLD (ART. REPARADO), REPARACION DE MODULO CPC (ART. REPARADO), TERMINAL OJAL DE 6MM, TERMINAL OJAL DE 10MM, ACEITE 15W40 XV300 X 205LT (TAMBOR), FUSIBLE 15 AMP - GENROD, PRECINTOS 400X7,2MM X 100 UNI - BREMEN, CABLE TIPO TALLER DE 3 X 1,5 MM, PRECINTOS GRETEL 200X3,6MM X 100 UNI</t>
  </si>
  <si>
    <t>SRAF</t>
  </si>
  <si>
    <t>AE700VS</t>
  </si>
  <si>
    <t>AXOR 2036</t>
  </si>
  <si>
    <t>Cambiar lampara 5w 24v</t>
  </si>
  <si>
    <t>Materiales planificados con Salida Cero: LAMPARA H7 24V  - NEOLUX, ACEITE 15W40 XV300 X 205LT (TAMBOR), LAMPARA 24V 5W (C/CULOTE) - HELLA</t>
  </si>
  <si>
    <t>FGV321</t>
  </si>
  <si>
    <t>1218</t>
  </si>
  <si>
    <t>Cambiar Crapodina Hidraulica</t>
  </si>
  <si>
    <t>2) Desconexión de material (Falta 'BOMBA')</t>
  </si>
  <si>
    <t>Materiales cargados no coinciden: COJINETE DE DESEMBRAGUE MB 712/1318 (A 002 250 66 15) ORIGINAL, KIT DE EMBRAGUE MB 1418/1720/1624 (395MM) ORIGINAL (ART. REPARADO), RETEN DE VOLANTE DE MOTOR DE EMBRAGUE MB 2035 (A 025 997 50 47) - SAV (10375), GOMA DE PEDAL DE EMBRAGUE/FRENO MB 1225 (A 110 291 01 82) ORIGINAL, LIQUIDO REFRIGERANTE KRIOX INORGANICO X 1000LTS</t>
  </si>
  <si>
    <t>OFZ591</t>
  </si>
  <si>
    <t>32-CORT. LAT. 3 EJES-1</t>
  </si>
  <si>
    <t>Cambio De Faro Led Redondo 3100 Led</t>
  </si>
  <si>
    <t>Materiales cargados no coinciden: TUERCA HEXAGONAL DE 8 MM PASO 1.25 DUREZA 8.8 MATERIAL ACERO BICROMATADO, BULÓN HEXAGONAL M8 X 20 MM PASO 1.25 DUREZA 8.8 MATERIAL ACERO BICROMATADO, FARO DE SEMI REMOLQUE HEMBRA ROJO 3100, LAMPARA 24V 5W (S/CULOTE) - NEOLUX, BUJE TENSOR DE SEMI (7/8"X47X78) - MERCOSIL, CINTA AISLADORA NEGRA 19MMx20Mx0.15MM 3M 165 TEMFLEX, PLATINA SUPERIOR DE FUELLE 32(195) (MMA - 4580), TAPA INFERIOR ø195/ PARA FUELLE CONICO 435/170/140 - FUELLE RECTO 445/195 - METALURGICA MA, BASE FUELLE CONICO 31-140MM PARA FUELLE CONICO 435/170/140 - FUELLE RECTO 445/195, FUELLE DE SUSPENSION 31-170-140-480 - METALURGICA MA, FUELLE DE SUSPENSION 31-170-140-480, BASE PARA FUELLE TC260-BC202A-140 - METALURGICA MA (3420), TOPE DE GOMA PARA FUELLE TUBULAR 63MM, PLATINA SUPERIOR DE FUELLE 32(195) (MMA - 4580), FARO LED BAIML 1035 COLOR AMBAR, ARANDELAS GROVER DE 8MM, ARANDELA BISELADA 10MM, RETEN DE BARRAL TRASERO CINCADO - ASTPRA (SKU: ASP 15.03.42), FARO DE PATENTE MB 1318/1418/1720/2118 - BAIML (603), FARO DE SEMI REMOLQUE HEMBRA ROJO 3100, FICHA 3 VIAS PARA FARO 3030E - ORO, PARCHE 112 TG (10 U) X CAJA</t>
  </si>
  <si>
    <t>BJH275</t>
  </si>
  <si>
    <t>Cambio Portalampara</t>
  </si>
  <si>
    <t>Materiales cargados no coinciden: PORTALAMPARA 5W 24V (SIN CABLES), CABLE TERMOCONTRAIBLE DE 3MM (PARA CABLE DE 1.5MM) X ROLLO, LAMPARA 12V 5W (S/CULOTE), LAMPARA 12V 21W UN POLO</t>
  </si>
  <si>
    <t>CVF923</t>
  </si>
  <si>
    <t>712</t>
  </si>
  <si>
    <t>Cambiar Faro Delantero Izq</t>
  </si>
  <si>
    <t>2) Desconexión de material (Falta 'LUZ')</t>
  </si>
  <si>
    <t>Materiales cargados no coinciden: LAMPARA H1 24V, TERMINAL PALA MACHO, REMACHE POP ALUMINIO DE 5MM DIAMETRO X 20MM LARGO, LAMPARA 24V 1.2W S/CULOTE, PRECINTOS DUROLL 400X4,8MM X 100 UNI, LIQUIDO REFRIGERANTE KRIOX INORGANICO X 1000LTS, TORNILLO FIX 4.5 X 25, LAMPARA 24V 5W (C/CULOTE) - NEOLUX, FARO DOBLE IZQ MB 1620/1634 (A 694 760 71 59) - VIC (897I), FARO LED BAIML 1035 COLOR CRISTAL, ABRAZADERA PERFECTO (12MM) 12-22MM x UN, MEDIDOR DE COMBUSTIBLE MB 1215/1620/1634/1218/1318/1622/914/915/1418 (A 003 542 28 03) ORIGINAL, LAMPARA 24V 21W - OSRAM, MANGUERA DE AGUA A RADIADOR DE CALEFACION MB 1720 DERECHO - (A 693 832 70 23) ORIGINAL, ESPIGA DE BRONCE DOBLE BOCA DE 15.5MM UNIVERSAL, MANGUERA DE AGUA A RADIADOR DE CALEFACION MB 1720 IZQUIERDO - (A 693 832 71 23) ORIGINAL, REPARACION MOTOR DE CALEFACCION 24V (ART. REPARADO), ABRAZADERA (12MM) 23-35MM x UN, CALEFACTOR RADIADOR DE AGUA MB 1634 (A 007 830 32 61) - ORIGINAL, MEDIDOR DE COMBUSTIBLE MB 1215/1620/1634/1218/1318/1622/914/915/1418 (A 003 542 28 03) ORIGINAL</t>
  </si>
  <si>
    <t>AF114FZ</t>
  </si>
  <si>
    <t>Materiales cargados no coinciden: FILTRO DE COMBUSTIBLE MANN PU1046/1X, FILTRO TRAMPA DE AGUA MB 1933S (A 000 470 24 90) - RE160JQII - MARCA RAMA</t>
  </si>
  <si>
    <t>Auxilios</t>
  </si>
  <si>
    <t>NIE155</t>
  </si>
  <si>
    <t>Cambiar Motor de Arranque</t>
  </si>
  <si>
    <t>2) Desconexión de material (Falta 'LEVANTAVENTANAS')</t>
  </si>
  <si>
    <t>Materiales cargados no coinciden: REPARACION DE ARRANQUE 24V (Art. Reparado)</t>
  </si>
  <si>
    <t>OHH586</t>
  </si>
  <si>
    <t>Cambiar Radiador De Calefaccion</t>
  </si>
  <si>
    <t>2) Desconexión de material (Falta 'MOTOR DE CALEFACCION', 'FORZADOR')</t>
  </si>
  <si>
    <t>Materiales cargados no coinciden: CALEFACTOR RADIADOR DE AGUA MB 1634 (A 007 830 32 61) - ORIGINAL, LAMPARA 24V 3W (S/CULOTE)</t>
  </si>
  <si>
    <t>AF831AF</t>
  </si>
  <si>
    <t>KANGOO</t>
  </si>
  <si>
    <t>Cambiar filtro de aire</t>
  </si>
  <si>
    <t>AD367QF</t>
  </si>
  <si>
    <t>S.A.P.3E.71</t>
  </si>
  <si>
    <t>Cambiar Cinta Frenos 2Eje Lado Izq</t>
  </si>
  <si>
    <t>Materiales cargados no coinciden: RETEN DE RUEDA TRASERA PARA SEMIREMOLQUE - SABO (S4302), RESORTE BICONICO P/PATIN FRENO MASTER (31,5 X 210 X 5MM.), RETEN DE RUEDA TRASERA PARA SEMIREMOLQUE - SABO (S4302), FARO LED BAIML 1035 COLOR ROJO, READECUACION DE CINTAS DE FRENO (SEMI REMOLQUE) (ART. REPARADO), RESORTE RECTO RETRACCION P/PATIN FRENO MASTER GANCHO MOVIL (18 X 132 X 5MM.), ESPARRAGOS DE RUEDA CON TUERCA 100,9x22,3, READECUACION DE CINTAS DE FRENO (SEMI REMOLQUE) (ART. REPARADO), BULON HEXAGONAL 6X25MM X UN, ARANDELAS PLANAS DE 8MM, TUERCA DE 6MM, LAMPARA 24V 5W (S/CULOTE) - NEOLUX, READECUACION DE CINTAS DE FRENO (SEMI REMOLQUE) (ART. REPARADO)</t>
  </si>
  <si>
    <t>AF461DB</t>
  </si>
  <si>
    <t>Cambiar Piton De Centro</t>
  </si>
  <si>
    <t>AG269WH</t>
  </si>
  <si>
    <t>Cambio Fusible</t>
  </si>
  <si>
    <t>Materiales cargados no coinciden: LAMPARA H7 24V - HELLA, FUSIBLE 10 AMP, TUERCA DE 10MM PASO 1,5 (DUREZA 8,8)</t>
  </si>
  <si>
    <t>KLY974</t>
  </si>
  <si>
    <t>Cambiar Vejiga De Levante LD</t>
  </si>
  <si>
    <t>2) Desconexión de material (Falta 'VEJIGA')</t>
  </si>
  <si>
    <t>Materiales cargados no coinciden: ACOPLE RAPIDO RECTO DE 10MM, ACOPLE RAPIDO RECTO DE 8MM, LAMPARA 24V 5W (S/CULOTE) - NEOLUX, FUELLE DE SUSPENSION 2B 22 150L</t>
  </si>
  <si>
    <t>AF746EN</t>
  </si>
  <si>
    <t>TECTOR EVO 170E28</t>
  </si>
  <si>
    <t>Colocar Grafica TDU</t>
  </si>
  <si>
    <t>AF948NA</t>
  </si>
  <si>
    <t>AF066NU</t>
  </si>
  <si>
    <t>Cambio 4 Cubiertas del Eje Balanzin, 275 Medio Uso. Desarme y Arme</t>
  </si>
  <si>
    <t>Materiales cargados no coinciden: INDICADOR DE TORQUE RUEDA/ CHECKPOINT DE 32 MM, DEPOSITO DE AGUA IVECO TECTOR (500092498) - NEXPRO, ABRAZADERA PERFECTO 35-45MM x UN, LAMPARA 24V 21W - HELLA, LAMPARA 24V 5W (C/CULOTE) - NEOLUX, ALFOMBRA IVECO TECTOR NEGRA (AV1530), CUBIERTA TACO 275 R22.5 - FATE, LIQUIDO REFRIGERANTE KRIOX INORGANICO X 1000LTS, GUARDABARROS SEMIRREMOLQUE IZQ - ASTPRA (ASP 27.14.50)</t>
  </si>
  <si>
    <t>KUF606</t>
  </si>
  <si>
    <t>AXOR 1933</t>
  </si>
  <si>
    <t>Cambio De Aceite De Motor Y Filtro Aceite</t>
  </si>
  <si>
    <t>2) Desconexión de material (Falta 'LEVANTAVENTANAS', 'EXTREMO')</t>
  </si>
  <si>
    <t>Materiales cargados no coinciden: FILTRO DE ACEITE 6 CILINDROS MB 1725/1726/1933/1624L/1721 OF ELECTRONICO - MANN HU 945/2x, ACEITE 15W40 XV300 X 205LT (TAMBOR)</t>
  </si>
  <si>
    <t>FJT707</t>
  </si>
  <si>
    <t>Cambio Mica</t>
  </si>
  <si>
    <t>Materiales cargados no coinciden: MICA BAIML 1035 COLOR AMBAR (LED)</t>
  </si>
  <si>
    <t>AG054RD</t>
  </si>
  <si>
    <t>Cambiar Caja Reguladora De Frenos 1 Eje Izq</t>
  </si>
  <si>
    <t>Materiales cargados no coinciden: REGISTRO DE FRENO 28 ESTRIAS SEMI REMOLQUE - MKF (KN44071A)</t>
  </si>
  <si>
    <t>AF722DM</t>
  </si>
  <si>
    <t>Cambiar Lamparas Posicion Traseras</t>
  </si>
  <si>
    <t>OJG072</t>
  </si>
  <si>
    <t>Armar y colocar cintas y campana eje remolque</t>
  </si>
  <si>
    <t>2) Desconexión de material (Falta 'CAMPANA')</t>
  </si>
  <si>
    <t>Materiales cargados no coinciden: FARO DE PATENTE MB 1318/1418/1720/2118 - BAIML (603), RESORTE RECTO RETRACCION P/PATIN FRENO MASTER GANCHO MOVIL (18 X 132 X 5MM.), BUJE TENSOR DE SEMI (7/8"X47X78) - IAVB, TUERCA HEXAGONAL DE 1/4" PASO 1.25 DUREZA 8.8 MATERIAL ACERO ZINCADO, CINTA REFLECTIVA BLANCA X MT, BULON HEXAGONAL 8X50MM X UN, TERMINAL OJAL DE 6MM, LLAVE 1 PUNTO T/M. BENZ - TAMATEL, TORNILLO PUNTA DE MECHA (3/8 -14X1") X UN, PRECINTOS 400X7,2MM X 100 UNI - BREMEN, BUJE DE TEFLON PARA BARRAL DE 25MM ASTPRA (ASP 15.03.68), FARO DE SEMI REMOLQUE HEMBRA CRISTAL 3100, FARO LED 48W - 15 X 4 X 5 CM - INFINITY TECH, ARANDELA BISELADA 6MM, BULON HEXAGONAL 6X25MM X UN, CABLE TIPO TALLER DE 2 X 1,5 MM, LAMPARA 24V 21W - HELLA, PRECINTOS GRETEL 400X4,8MM X 100 UNI, TUERCA HEXAGONAL DE 8 MM PASO 1.25 DUREZA 8.8 MATERIAL ACERO BICROMATADO, FARO COLGANTE SIMPLE 1035/6, TERMINAL OJAL DE 6MM, READECUACION DE CINTAS DE FRENO (SEMI REMOLQUE) (ART. REPARADO), BULON HEXAGONAL 1/4" X40 MM X UN, FARO LED BAIML 1035 COLOR ROJO, LAMPARA INTERIOR DE CAJA - FLED (C1648CH), MICA BAIML 1035 COLOR AMBAR (LED), FARO DE SEMI REMOLQUE HEMBRA ROJO 3100</t>
  </si>
  <si>
    <t>Cambio Lampara de Posicion</t>
  </si>
  <si>
    <t>Cambio Faro De Giro Trasero Izq</t>
  </si>
  <si>
    <t>NIE147</t>
  </si>
  <si>
    <t>Cambio Hoja De Elastico De Cabina</t>
  </si>
  <si>
    <t>2) Desconexión de material (Falta 'HOJA DE ELASTICO', 'EXTREMO')</t>
  </si>
  <si>
    <t>Materiales cargados no coinciden: ELASTICO DE CABINA MB 1720 (A 673 317 01 85) - ORIGINAL, VOLANTE DE CAMION MB (42MM) - LISGOM, BULON HEXAGONAL M8x20MM (PASO 1.25) - ACERO DUREZA 8.8 - ZINCADO/GALVANIZADO - x UN, TUERCA DE 8MM</t>
  </si>
  <si>
    <t>OJG097</t>
  </si>
  <si>
    <t>Materiales cargados no coinciden: FILTRO DE COMBUSTIBLE MANN PU1046/1X, FILTRO TRAMPA DE AGUA MB 1318 (A 695 470 00 90) - WK 1060/4</t>
  </si>
  <si>
    <t>AF371BF</t>
  </si>
  <si>
    <t>Cambiar Cubierta 2DI</t>
  </si>
  <si>
    <t>Materiales cargados no coinciden: RECAPADO NEUMATICO 295, FUELLE DE SUSPENSION 2B 22 150L</t>
  </si>
  <si>
    <t>Cambiar Rodillo Patin Freno</t>
  </si>
  <si>
    <t>Cambiar Bulbo Aceite</t>
  </si>
  <si>
    <t>2) Desconexión de material (Falta 'BULBO')</t>
  </si>
  <si>
    <t>GMJ024</t>
  </si>
  <si>
    <t>Colocar Brazo de Escobilla Limpia Parabrisa Der</t>
  </si>
  <si>
    <t>2) Desconexión de material (Falta 'ESCOBILLA')</t>
  </si>
  <si>
    <t>Materiales cargados no coinciden: LAMPARA 24V 3W (S/CULOTE), ACEITE 15W40 XV300 X 205LT (TAMBOR), LIQUIDO REFRIGERANTE KRIOX INORGANICO X 1000LTS, EXTREMO DE DIRECCION 28/30 DER - PORPORA, REPARACION DE EXTREMO FIJO DE BARRA CORTA MB 1720 (ART. REPARADO), EXTREMO DE DIRECCION 24/30 IZQ - PORPORA, EXTREMO DE DIRECCION 24/30 DER - PORPORA, ARANDELAS PLANAS DE 8MM, TUERCA DE 8MM</t>
  </si>
  <si>
    <t>JIU311</t>
  </si>
  <si>
    <t>Cambio Conector Intermedio De Bomba De Agua</t>
  </si>
  <si>
    <t>Materiales cargados no coinciden: FUSIBLE 30 AMP, FILTRO DE ACEITE 6 CILINDROS MB 1725/1726/1933/1624L/1721 OF ELECTRONICO - MANN HU 945/2x, CONECTOR BOMBA DE AGUA 904/906 MB 1624/1725 (A 936 203 33 36) ORIGINAL, FILTRO DE COMBUSTIBLE - MANN PU1046/1X, LIQUIDO REFRIGERANTE KRIOX INORGANICO X 1000LTS</t>
  </si>
  <si>
    <t>LTS288</t>
  </si>
  <si>
    <t>Materiales cargados no coinciden: ACEITE 15W40 XV300 X 205LT (TAMBOR), DESENGRASANTE TRANSNET C SUPER 26K (9503), JUNTA DE TAPA DE VALVULAS (OM 926) MB AXOR 1933 (A 000 016 05 21) - ELRING, DIAFRAGMA DE TAPA DE VALVULAS MB ELECTRONICO (A 000 018 01 33) ORIGINAL, SENSOR DE PRESION DE ACEITE MB AXOR 1933 (A 011 153 92 28) ORIGINAL, ARANDELA PARA BULON DE TAPA DE VALVULAS OM 904/906 (A906 016 00 80)</t>
  </si>
  <si>
    <t>FHK364</t>
  </si>
  <si>
    <t>1620</t>
  </si>
  <si>
    <t>Colocación Jgo De Juntas MB 366</t>
  </si>
  <si>
    <t>Cambiar ruedas</t>
  </si>
  <si>
    <t>AF066NX</t>
  </si>
  <si>
    <t>Materiales cargados no coinciden: ACEITE 15W40 XV300 X 205LT (TAMBOR), FILTRO DE ACEITE IVECO TECTOR (500041216) - NEXPRO</t>
  </si>
  <si>
    <t>IDX164</t>
  </si>
  <si>
    <t>Cambio De Bateria 180 Amp</t>
  </si>
  <si>
    <t>Materiales planificados con Salida Cero: BATERIA 12V 180A - MOURA</t>
  </si>
  <si>
    <t>AG204ZQ</t>
  </si>
  <si>
    <t>CAMBIO PROT/BLANCO DE LUCES INTERMITENTES DER/IZQ</t>
  </si>
  <si>
    <t>Materiales cargados no coinciden: MICA LUCES INTERMITENTES IZQ MB ATEGO 1725 (A 958 884 04 22) ORIGINAL, CUBIERTA DE LUCES INTERMITENTES DER MB ATEGO 1725 (A 958 884 05 22) - ORIGINAL, SIKAFLEX 221 x 600ml (SALCHICHA), LAMPARA H7 24V - HELLA, LAMPARA 24V 5W (C/CULOTE) - NEOLUX, ACEITE 15W40 XV300 X 205LT (TAMBOR)</t>
  </si>
  <si>
    <t>HNL373</t>
  </si>
  <si>
    <t>1318</t>
  </si>
  <si>
    <t>Cambiar Deposito Liquido Refrigerante</t>
  </si>
  <si>
    <t>2) Desconexión de material (Falta 'REFRIGERANTE')</t>
  </si>
  <si>
    <t>Materiales cargados no coinciden: HEBILLA CINTURON DE SEGURIDAD HEMBRA (A 904 880 21 00) ORIGINAL, LAMPARA 24V 5W (S/CULOTE) - NEOLUX, DEPOSITO DE AGUA MB1620/1624 (A 384 500 89 49) - RESERPLASTIC (000015), ACOPLE RAPIDO RECTO DE 8MM, DIAFRAGMA DE FRENO N°16 COPA ALTA, PORTA LAMPARA PARA FARO COLGANTE DOBLE/SIMPLE 1035/6 (AMBAR/AMBAR) SIN CABLE - BAIML, LAMPARA 24V 5W (S/CULOTE) - NEOLUX, MANIJA ALZA CRISTALES MB 1720/1620/1634/1318 (A 688 760 70 02) - RGL (2146G), FARO TRASERO IZQ MB AXOR (A 003 544 68 03 ) - FITAM (68050)</t>
  </si>
  <si>
    <t>OJG061</t>
  </si>
  <si>
    <t>AG176NB</t>
  </si>
  <si>
    <t>OJG103</t>
  </si>
  <si>
    <t>G310</t>
  </si>
  <si>
    <t>Colocar Sistema de Calefaccion  Motor</t>
  </si>
  <si>
    <t>2) Desconexión de material (Falta 'MOTOR DE CALEFACCION', 'LEVANTAVENTANAS', 'FORZADOR')</t>
  </si>
  <si>
    <t>Materiales cargados no coinciden: DEPOSITO DE EXPANSION DE AGUA SCANIA G310 (2401668) - RESERPLASTIC (000150), FILTRO DE CABINA - MANN CU37001</t>
  </si>
  <si>
    <t>AD267VH</t>
  </si>
  <si>
    <t>FORD CARGO 1519-48</t>
  </si>
  <si>
    <t>Cambiar codo de admision del turbo</t>
  </si>
  <si>
    <t>2) Desconexión de material (Falta 'MANGUERA', 'EXTREMO')</t>
  </si>
  <si>
    <t>Materiales cargados no coinciden: CODO DE ENTREDA DE TOMA DE AIRE FORD CARGO 1519/48 - RESERPLASTIC (001222), FILTRO DE AIRE FORD CARGO 1519/48 - WIX WA 10529</t>
  </si>
  <si>
    <t>AD426HW</t>
  </si>
  <si>
    <t>Cambiar Pastillas De Freno Del Der</t>
  </si>
  <si>
    <t>2) Desconexión de material (Falta 'PASTILLA')</t>
  </si>
  <si>
    <t>Materiales cargados no coinciden: TENSOR DE CORREA MB AXOR 2541 (A 457 200 44 70) ORIGINAL, POLEA TENSORA MB AXOR 2036 ROBUST S (A 000 550 28 33) ORIGINAL, SENSOR DE NOX MB 2541 (A 009 153 36 28/006) ORIGINAL, AZUL 32 UREA x 1000LTS</t>
  </si>
  <si>
    <t>KKZ668</t>
  </si>
  <si>
    <t>Cambiar Cinta Frenos 2Eje Lado Der</t>
  </si>
  <si>
    <t>Materiales cargados no coinciden: RESORTE RECTO RETRACCION P/PATIN FRENO MASTER GANCHO MOVIL (18 X 132 X 5MM.), CAMPANA DE FRENO MONTENEGRO PARA SEMI REMOLQUE AST PRA (10 BULONES - D:42 - PROFUNDIDAD &lt;27), SEGURO PARA RODIILLO DE PATIN DE FRENO - RG (9960), REGISTRO DE FRENOS DE 10 ESTRIAS - MKF, GUARDABARROS SEMIRREMOLQUE DER - ASTPRA (ASP 27.14.49), RESORTE BICONICO P/PATIN FRENO MASTER (31,5 X 210 X 5MM.), BULON 5/16 X2 1/2", TUERCA 5/16, ARANDELA PLANA 3/8, ACOPLE RAPIDO CODO DE 6MM CON ROSCA MACHO 1/2, BUJE TENSOR DE SEMI (7/8"X47X78) - MERCOSIL, BULON TENSOR 7/8" X 140 (C/TUERCA AUTOFRENANTE) X UN - MERCOSIL, ARANDELA 3/4, READECUACION DE CINTAS DE FRENO (SEMI REMOLQUE) (ART. REPARADO), REMACHE POP ALUMINIO DE 5MM DIAMETRO X 20MM LARGO</t>
  </si>
  <si>
    <t>RNX412</t>
  </si>
  <si>
    <t>1633</t>
  </si>
  <si>
    <t>Materiales cargados no coinciden: BOMBIN TRAMPA DE AGUA MB 1933/1725/1624 (A 958 470 03 90) ORIGINAL, FILTRO DE COMBUSTIBLE FORD 350 - MANN BFU 900X</t>
  </si>
  <si>
    <t>LRN157</t>
  </si>
  <si>
    <t>Cambio Filtro Secante (APU)</t>
  </si>
  <si>
    <t>Materiales cargados no coinciden: LAMPARA H7 24V  - NEOLUX, FILTRO DE AIRE APU - MANN TB1374/13X, REPARACION DE COMPRESOR DE AIRE  TAPA CORTA(ART. REPARADO), REPARACION DE VALVULA DE SECADO (ART. REPARADO), REPARACION DE VALVULA PROTECTORA 4 VIAS (ART. REPARADO), BULON HEXAGONAL ACERO ZINCADO 1/4" X 40MM - PASO 1,5MM, LIQUIDO REFRIGERANTE 50/50 X 1000LTS</t>
  </si>
  <si>
    <t>GRC311</t>
  </si>
  <si>
    <t>GOX959</t>
  </si>
  <si>
    <t>KBV620</t>
  </si>
  <si>
    <t>Cambio De Faro Led Baiml 1035 Rojo</t>
  </si>
  <si>
    <t>JEB635</t>
  </si>
  <si>
    <t>DLW395</t>
  </si>
  <si>
    <t>1215</t>
  </si>
  <si>
    <t>Cambiar Viscoso</t>
  </si>
  <si>
    <t>En proceso</t>
  </si>
  <si>
    <t>Materiales cargados no coinciden: MANIJA DE PUERTA INTERNA (A69 47 607 161) - EDC, AMORTIGUADOR LEVANTA CAPOT MB 2541 (A 009 988 15 01) ORIGINAL, VISCOSO ATRON MB 1720 (A 904 200 06 23) - BORGWARNER, ABRAZADERA (12MM) 40-60MM x UN, LIQUIDO REFRIGERANTE KRIOX INORGANICO X 1000LTS, PRECINTOS 400X7,2MM X 100 UNI - BREMEN</t>
  </si>
  <si>
    <t>Cambiar Faro Delantero Der</t>
  </si>
  <si>
    <t>AF613YZ</t>
  </si>
  <si>
    <t>Materiales cargados no coinciden: FILTRO DE ACEITE IVECO TECTOR (500058314) - NEXPRO, ACEITE 15W40 XV300 X 205LT (TAMBOR)</t>
  </si>
  <si>
    <t>KJH885</t>
  </si>
  <si>
    <t>Cambiar Portalampara de Giro Izq</t>
  </si>
  <si>
    <t>Materiales cargados no coinciden: RELAY INVERSOR DOBLE 5 PATAS 24V 40AMP, REMACHES 3.5 X20 MM X UN, ARANDELAS PLANAS DE 8MM, BULON HEXAGONAL 6X25MM X UN, REPARACION DE ALTERNADOR 24V (Art. Reparado), LIMPIA CONTACTOS EN AEROSOL x 440ML, LAMPARA 24V 21/5W  - HELLA</t>
  </si>
  <si>
    <t>AF371BE</t>
  </si>
  <si>
    <t>Cambiar rueda</t>
  </si>
  <si>
    <t>AF653AB</t>
  </si>
  <si>
    <t>ATEGO 1721</t>
  </si>
  <si>
    <t>Cambio Vidrio Espejo</t>
  </si>
  <si>
    <t>2) Desconexión de material (Falta 'OPTICA', 'EXTREMO')</t>
  </si>
  <si>
    <t>Materiales cargados no coinciden: CRISTAL ESPEJO MB AXOR/ATEGO LADO D/I (C/DESEMPAÑADOR) (A 002 811 99 33) - SP 1611</t>
  </si>
  <si>
    <t>GLT552</t>
  </si>
  <si>
    <t>Cambiar Espejo Retrovisor Chico</t>
  </si>
  <si>
    <t>2) Desconexión de material (Falta 'ESPEJO')</t>
  </si>
  <si>
    <t>Materiales cargados no coinciden: MEMBRANA GEOTEXTIL MEGAFLEX TRANSITABLE GEOTRANS x 40KG, PINCEL DE 75MM (3")</t>
  </si>
  <si>
    <t>JIL525</t>
  </si>
  <si>
    <t>Cambiar Cinta De Freno Traccion Lado Derecho</t>
  </si>
  <si>
    <t>2) Desconexión de material (Falta 'PALANCA DE FRENADO', 'EXTREMO')</t>
  </si>
  <si>
    <t>Materiales cargados no coinciden: SEGURO DE ZAPATAS DE FRENO MB 1720 (A 990 994 04 00) ORIGINAL, MICA BAIML 1035 COLOR ROJO (LED), BAJADA DE GUARDABARROS MB 1624 LADO DERECHO (A 694 682 74 26) - BL PARTS, CAÑO DE LLENADO DE ACEITE SUPERIOR AXOR 1933 (A 940 520 01 06) ORIGINAL, LIQUIDO P/FRENOS C12/1000 (CAJA 12 x 1LT) - BOSCH, RETEN DE RUEDA TRASERA MB 1418/1419 (A 345 997 83 46) - SAV (6731), ESPEJO CURVO PANORAMICO AUXILIAR MB 1634 LS ELECTRONIC, REMACHE POP ALUMINIO DE 5MM DIAMETRO X 20MM LARGO, TORNILLO AUTOPERFORANTE 14X 2-1/2 (CABEZA HEXAGONAL - C/ARANDELA) X UN, TORNILLO AUTOPERFORANTE T1 8X1/2 (PUNTA MECHA) X UN</t>
  </si>
  <si>
    <t>AF444TX</t>
  </si>
  <si>
    <t>Colocación de gráfica Nueva</t>
  </si>
  <si>
    <t>AF722DN</t>
  </si>
  <si>
    <t>ESTRUCTURA BA</t>
  </si>
  <si>
    <t>ESTRUCTURA BUENOS AIRES</t>
  </si>
  <si>
    <t>Salio a Buscar Recambios de Garrafas</t>
  </si>
  <si>
    <t>Materiales cargados no coinciden: FILTRO DE ACEITE 6 CILINDROS MB 1318/1218/1215/914/712/1418/915/815 - MANN HU931/5X, ACEITE 15W40 XV300 X 205LT (TAMBOR)</t>
  </si>
  <si>
    <t>JHD034</t>
  </si>
  <si>
    <t>Cambiar buje de tensores semiremolque</t>
  </si>
  <si>
    <t>2) Desconexión de material (Falta 'TENSOR')</t>
  </si>
  <si>
    <t>Materiales cargados no coinciden: BUJE DE LEVA SEMIREMOLQUE DE GRILON - 38MM- FEGOM</t>
  </si>
  <si>
    <t>AF088EA</t>
  </si>
  <si>
    <t>OMQ198</t>
  </si>
  <si>
    <t>Cambio Porta Fusibles Aereos</t>
  </si>
  <si>
    <t>Cambiar Fusible 10 Amp</t>
  </si>
  <si>
    <t>2) Desconexión de material (Falta 'FUSIBLE')</t>
  </si>
  <si>
    <t>Materiales cargados no coinciden: TAPON DE CARTER 20MM (OM904/906), ARANDELA ALUMINIO 20MM, ARANDELA DE ALUMINIO 22MM, PALANCA MULTI FUNCION MB 1620 (A 008 545 01 24 - A 008 545 01 22) - UNIVERSAL, REPARACION DE ALTERNADOR 24V (Art. Reparado), LAMPARA 24V 5W (C/CULOTE) - NEOLUX, BATERIA 12V 100 - WILLARD, ACEITE 15W40 XV300 X 205LT (TAMBOR)</t>
  </si>
  <si>
    <t>Materiales cargados no coinciden: ACEITE 15W40 XV300 X 205LT (TAMBOR), FILTRO DE ACEITE 6 CILINDROS MB 1725/1726/1933/1624L/1721 OF ELECTRONICO - MANN HU 945/2x</t>
  </si>
  <si>
    <t>OHH590</t>
  </si>
  <si>
    <t>AD426IF</t>
  </si>
  <si>
    <t>Colocar Compresor De Motor</t>
  </si>
  <si>
    <t>Materiales cargados no coinciden: COMPRESOR DE AIRE (BICILINDRICO) MB 2541 (A 460 130 00 15) - ZEPLIN (SFP9125101070), LIQUIDO REFRIGERANTE KRIOX INORGANICO X 1000LTS</t>
  </si>
  <si>
    <t>JWV380</t>
  </si>
  <si>
    <t>No Arrancaba, (Estaba en Cambio).</t>
  </si>
  <si>
    <t>AF613YX</t>
  </si>
  <si>
    <t>KHS026</t>
  </si>
  <si>
    <t>Colocar Cintas Reflactarias a Cabina</t>
  </si>
  <si>
    <t>AF088ED</t>
  </si>
  <si>
    <t>ATEGO 1726</t>
  </si>
  <si>
    <t>JYQ969</t>
  </si>
  <si>
    <t>Cambiar Tapa De Combustible</t>
  </si>
  <si>
    <t>2) Desconexión de material (Falta 'TAPA DE COMBUSTIBLE')</t>
  </si>
  <si>
    <t>KJH882</t>
  </si>
  <si>
    <t>Cambiar lampara 3w 24v</t>
  </si>
  <si>
    <t>GDR526</t>
  </si>
  <si>
    <t>Materiales cargados no coinciden: FILTRO DE ACEITE 6 CILINDROS MB 710/914/1218/1418L/1620/1720/1721LK/LS-S - MANN W 1168/5, ACEITE 15W40 XV300 X 205LT (TAMBOR)</t>
  </si>
  <si>
    <t>IBB076</t>
  </si>
  <si>
    <t>S PA 3E 71</t>
  </si>
  <si>
    <t>Colocar Tristop Eje Nuematico izq</t>
  </si>
  <si>
    <t>2) Desconexión de material (Falta 'TOP')</t>
  </si>
  <si>
    <t>Materiales cargados no coinciden: MICA BAIML 1035 COLOR AMBAR (LED), AMORTIGUADOR DE EJE NEUMATICO SEMI REMOLQUE SADAR (870010EM)</t>
  </si>
  <si>
    <t>KNE956</t>
  </si>
  <si>
    <t>Colocar Tanque Aire</t>
  </si>
  <si>
    <t>2) Desconexión de material (Falta 'DEPOSITO')</t>
  </si>
  <si>
    <t>Materiales cargados no coinciden: AMORTIGUADOR DELANTERO MB 2541 - SACHS (314927), FARO SEMI REMOLQUE IZQ - BAIML (3100ED), BULON HEXAGONAL 1/4" X40 MM X UN, TUERCA 1/4, REMACHE POP ALUMINIO DE 5MM DIAMETRO X 20MM LARGO, REMACHE POP ALUMINIO DE 5MM DIAMETRO X 20MM LARGO, PRECINTOS GRETEL 200X3,6MM X 100 UNI, ARANDELAS PLANAS DE 8MM, CABLE TERMOCONTRAIBLE DE 5MM x MT, CAÑO CORRUGADO ABIERTO 7-10MM x MT, AMORTIGUADOR DE CABINA TRASERA CENTRAL MB AXOR 2541 (A 958 317 21 03) ORIGINAL, ACEITE 15W40 XV300 X 205LT (TAMBOR), CAÑO POLIAMIDA TECALAN DE 8MM X MTS, PRECINTOS GRETEL 400X4,8MM X 100 UNI, FILTRO DE AIRE MB 2426/AXOR 1933 - MANN C28 1012, ARANDELAS PLANAS DE 8MM, FILTRO DE HABITACULO MB AXOR 2036 - MANN CU 4469, CALEFACTOR RADIADOR DE AGUA MB 1634 (A 007 830 32 61) - ALTERNATIVO, LAMPARA 24V 5W (C/CULOTE) - OSRAM, LIQUIDO REFRIGERANTE KRIOX INORGANICO X 1000LTS, ABRAZADERA 23-28MM x UN</t>
  </si>
  <si>
    <t>Ayudar en Pañol a Colocar Ubicaciones</t>
  </si>
  <si>
    <t>GJQ699</t>
  </si>
  <si>
    <t>Cambiar Caja Reguladora De Frenos Tras Der</t>
  </si>
  <si>
    <t>Materiales cargados no coinciden: CAJA REGULADORA RECTA 26 ESTRIAS SEMI REMOLQUE ORIGINAL (Art. Reparado)., BRAZO DE LIMPIAPARABRISAS MB 709/1620/1634 (A 694 820 01 44) ORIGINAL</t>
  </si>
  <si>
    <t>GLT550</t>
  </si>
  <si>
    <t>Cambio de Cojin de Asiento</t>
  </si>
  <si>
    <t>KKZ666</t>
  </si>
  <si>
    <t>Colocar vejiga Eje Neumatico deTrabajo Lado Der</t>
  </si>
  <si>
    <t>Materiales cargados no coinciden: RESORTE BICONICO P/PATIN FRENO MASTER (31,5 X 210 X 5MM.), BULON HEXAGONAL 1/4" X20MM X UN, ARANDELAS PLANAS DE 8MM, TUERCA 1/4, READECUACION DE CINTAS DE FRENO (SEMI REMOLQUE) (ART. REPARADO), CAMPANA DE 10 AGUJEROS PARA FRENO 8" - GREENMASTER, READECUACION DE CINTAS DE FRENO (SEMI REMOLQUE) (ART. REPARADO), CAJA TENSORA REGISTRO (DE LONAS) (02061056)</t>
  </si>
  <si>
    <t>KER727</t>
  </si>
  <si>
    <t>Colocar Membrana liquida al Techo</t>
  </si>
  <si>
    <t>2) Desconexión de material (Falta 'MEMBRANA')</t>
  </si>
  <si>
    <t>Materiales cargados no coinciden: SIKAFLEX 221 x 600ml (SALCHICHA), SIKAFLEX 221 x 600ml (SALCHICHA)</t>
  </si>
  <si>
    <t>Cambiar lamparas</t>
  </si>
  <si>
    <t>OAF643</t>
  </si>
  <si>
    <t>Cambiar maquina levanta cristal izquierdo</t>
  </si>
  <si>
    <t>2) Desconexión de material (Falta 'NEUMATICO', 'RUEDA', 'EXTREMO')</t>
  </si>
  <si>
    <t>Materiales cargados no coinciden: CABLE DE PUERTA (LADO CHOFER) SCANIA G310 (1498712) ORIGINAL</t>
  </si>
  <si>
    <t>Cambiar Cubiertas Tras. Motriz TIE Desarme y Arme</t>
  </si>
  <si>
    <t>KMM903</t>
  </si>
  <si>
    <t>Extraer Y Cambiar Motor de Arranque</t>
  </si>
  <si>
    <t>Materiales cargados no coinciden: REPARACION DE ARRANQUE 24V (Art. Reparado), TORNILLO PUNTA DE MECHA 8 x 3/4</t>
  </si>
  <si>
    <t>OJG098</t>
  </si>
  <si>
    <t>Cambio Fuelle De Palanca De Cambios</t>
  </si>
  <si>
    <t>Cambiar lampara h7 24v</t>
  </si>
  <si>
    <t>Materiales planificados con Salida Cero: LAMPARA H7 24V</t>
  </si>
  <si>
    <t>GFZ650</t>
  </si>
  <si>
    <t>Cambiar Palanca Multifuncion 24V</t>
  </si>
  <si>
    <t>2) Desconexión de material (Falta 'PALANCA MULTIFUNCION')</t>
  </si>
  <si>
    <t>Materiales cargados no coinciden: PRECINTOS GRETEL 400X7,2MM X 100 UNI, ESCOBILLA LIMPIA PARABRISAS 24" - BOSCH (B172), PALANCA MULTI FUNCION MB 1620/1624 (A 990 545 90 00) - KOSTAL</t>
  </si>
  <si>
    <t>GNY198</t>
  </si>
  <si>
    <t>2) Desconexión de material (Falta 'MICA', 'EXTREMO')</t>
  </si>
  <si>
    <t>JKG664</t>
  </si>
  <si>
    <t>Cambiar Cubierta 2IE</t>
  </si>
  <si>
    <t>KBV618</t>
  </si>
  <si>
    <t>AF371BH</t>
  </si>
  <si>
    <t>Materiales cargados no coinciden: LAMPARA 24V 21W - OSRAM, FARO TRASERO BIVOLTAJE BAIML 3300E.RC(POSICION/RETROCESO), PARCHES DE GOMAS RAC 12, PARCHES DE GOMAS RAC 12, BULON 10x40 PASO 1,5 (DUREZA 8,8), TUERCA DE 10MM PASO 1,5 (DUREZA 8,8)</t>
  </si>
  <si>
    <t>Materiales cargados no coinciden: TAPA DE GASOIL MB UNIVERSAL (TV-4080) - TRINK</t>
  </si>
  <si>
    <t>HNE430</t>
  </si>
  <si>
    <t>2) Desconexión de material (Falta 'ACEITE', 'BULBO')</t>
  </si>
  <si>
    <t>Materiales cargados no coinciden: CABLE TERMOCONTRAIBLE DE 3MM (PARA CABLE DE 1.5MM) X ROLLO, MANGUERA DE ENTRADA DEL TURBO AL FILTRO DE AIRE MB LS 1318 (A 693 520 00 86) - RESERPLASTIC (0004256, BORNE NEGATIVO (N 072332 011200) - BAUD, BORNE POSITIVO (N 072332 011100), RADIADOR DE AGUA MB 1318 (A 694 500 00 02) - MAHLE (CR 1244 001 P, ARANDELA DE ALUMINIO 16MM, REPARACION DE ALTERNADOR 24V (Art. Reparado), LAMPARA 24V 5W (S/CULOTE) - NEOLUX, BATERIA 12V 100A - MOURA (ME100HI), LIQUIDO REFRIGERANTE KRIOX INORGANICO X 1000LTS, LIQUIDO REFRIGERANTE KRIOX INORGANICO X 1000LTS</t>
  </si>
  <si>
    <t>AD426IJ</t>
  </si>
  <si>
    <t>Cambio Correa 8PK 1650</t>
  </si>
  <si>
    <t>Materiales cargados no coinciden: CORREA 8PK 1650 - DAYCO, CILINDRO LEVANTA CABINA MB 1729 (A 958 553 05 05) - ORIGINAL</t>
  </si>
  <si>
    <t>Cambio Fichas de Luces</t>
  </si>
  <si>
    <t>OHH597</t>
  </si>
  <si>
    <t>AF491HL</t>
  </si>
  <si>
    <t>SPRINTER 316 CDI FURGON 3665</t>
  </si>
  <si>
    <t>Cambiar lampra 21w 12v</t>
  </si>
  <si>
    <t>Materiales cargados no coinciden: LAMPARA 12V 21W UN POLO, LAMPARA 12V 21W/5W (DOS POLOS) - OSRAM, ACEITE 15W40 XV300 X 205LT (TAMBOR)</t>
  </si>
  <si>
    <t>Cambiar Matafuego</t>
  </si>
  <si>
    <t>2) Desconexión de material (Falta 'MATAFUEGO')</t>
  </si>
  <si>
    <t>HPR687</t>
  </si>
  <si>
    <t>Materiales cargados no coinciden: ACEITE 15W40 XV300 X 205LT (TAMBOR), FILTRO DE ACEITE 6 CILINDROS MB 1318/1218/1215/914/712/1418/915/815 - MANN HU931/5X</t>
  </si>
  <si>
    <t>Colocar Campana</t>
  </si>
  <si>
    <t>Materiales cargados no coinciden: FILTRO DE COMBUSTIBLE MANN PU1046/1X, FILTRO TRAMPA DE AGUA - WIX (WF 10288)</t>
  </si>
  <si>
    <t>Cambio De Aceite De Caja</t>
  </si>
  <si>
    <t>Materiales cargados no coinciden: HELICOIDAL M 80 W T205 - TAMBOR DE ACEITE DE CAJA</t>
  </si>
  <si>
    <t>Materiales cargados no coinciden: FILTRO TRAMPA DE AGUA MB AXOR 1933 - MANN WK 1060/4, FILTRO DE COMBUSTIBLE MANN PU1046/1X</t>
  </si>
  <si>
    <t>OHH589</t>
  </si>
  <si>
    <t>JGG406</t>
  </si>
  <si>
    <t>-</t>
  </si>
  <si>
    <t>Cambiar pastillas de freno</t>
  </si>
  <si>
    <t>Materiales cargados no coinciden: TUERCA PARA RUEDA (ø22mm) EXTERIOR 32MM, SEGURO PARA RODIILLO DE PATIN DE FRENO - RG (9960), RECAPADO NEUMATICO 295, PATIN DE FRENO SEMIRREMOLQUE RG FRENOS (F0851), LAMPARA 24V 5W (S/CULOTE) - NEOLUX, ESPARRAGOS DE RUEDA CON TUERCA 100,9x22,3</t>
  </si>
  <si>
    <t>Materiales cargados no coinciden: FILTRO DE COMBUSTIBLE - MANN PU1046/1X, FILTRO TRAMPA DE AGUA MB AXOR 1933 - MANN WK 1060/4, TAPA DE FILTRO TRAMPA AGUA SCANIA G310 - WIX (WF10136)</t>
  </si>
  <si>
    <t>Cambiar Caja Reguladora De Frenos 2 Eje Der</t>
  </si>
  <si>
    <t>Colocación De Surtidores De Aceites Para El Taller</t>
  </si>
  <si>
    <t>AD426HY</t>
  </si>
  <si>
    <t>Cambio Escobillas Limpiaparabrisas</t>
  </si>
  <si>
    <t>Cambiar Cinta Frenos 3Eje Lado Der</t>
  </si>
  <si>
    <t>Materiales cargados no coinciden: FILTRO DE COMBUSTIBLE MANN PU1046/1X, FILTRO TRAMPA DE AGUA MB AXOR 1933 - MANN WK 1060/4</t>
  </si>
  <si>
    <t>LFK337</t>
  </si>
  <si>
    <t>AXOR 2035</t>
  </si>
  <si>
    <t>Materiales cargados no coinciden: FILTRO DE ACEITE MB AXOR 2036/2035 - MANN HU 12 110X, ACEITE 15W40 XV300 X 205LT (TAMBOR)</t>
  </si>
  <si>
    <t>HQM968</t>
  </si>
  <si>
    <t>Asistencia Mecancio Gonzalo a Cambiar Motor Limpiaparabrisas</t>
  </si>
  <si>
    <t>OAF641</t>
  </si>
  <si>
    <t>Cambio Flexible De Escape</t>
  </si>
  <si>
    <t>Materiales cargados no coinciden: FILTRO DE COMBUSTIBLE IVECO TECTOR - NEXPRO (500041178)</t>
  </si>
  <si>
    <t>GUW658</t>
  </si>
  <si>
    <t>Materiales cargados no coinciden: MAQUINA ALZA CRISTALES DER MB 1318/1624/1620/1720 (A 688 720 76 46) - RGL (56611D), MANIJA DE PUERTA DER MB 1720/1620/1624/1318  (56575) - UNIVERSAL, MANIJA PUERTA IZQ MB 1720/1620/1624/1318 (5115) - (A 694 760 06 59), FUSIBLE 10 AMP - GENROD, TANQUE DE AGUA 26LTS DE SCANIA/MB - BEPO</t>
  </si>
  <si>
    <t>KMF921</t>
  </si>
  <si>
    <t>Colocar chapa Semi C/Remaches  Lateral Derecho</t>
  </si>
  <si>
    <t>2) Desconexión de material (Falta 'TORNILO')</t>
  </si>
  <si>
    <t>Materiales cargados no coinciden: SIKAFLEX 221 x 600ml (SALCHICHA), CHAPA GALVANIZADA 0.30X16.50 MTS (ESPESOR 0.7) X UN, CHAPA GALVANIZADA 0.30X16.50 MTS (ESPESOR 0.7) X UN, SIKAFLEX 221 x 600ml (SALCHICHA)</t>
  </si>
  <si>
    <t>Colocar chapa Semi C/Remaches  Lateral Izquierdo</t>
  </si>
  <si>
    <t>Cambiar Tristop Tras Der</t>
  </si>
  <si>
    <t>AF639HB</t>
  </si>
  <si>
    <t>Materiales cargados no coinciden: TORNILLO AUTOPERFORANTE 8X1 1/4 (PUNTA MECHA) X UN, ARANDELAS PLANAS DE 6MM, FUSIBLE 10 AMP - GENROD, LLAVE 1 PUNTO T/M. BENZ, FARO LED BAIML 1035 COLOR ROJO, CINTA AISLADORA NEGRA 19MMx20Mx0.15MM 3M 165 TEMFLEX, FARO LED 48W - 15 X 4 X 5 CM - INFINITY TECH, PRECINTOS GRETEL 400X4,8MM X 100 UNI, CABLE TIPO TALLER DE 2 X 1,5 MM</t>
  </si>
  <si>
    <t>OJG099</t>
  </si>
  <si>
    <t>AF642OS</t>
  </si>
  <si>
    <t>LFK338</t>
  </si>
  <si>
    <t>Cambiar Filtro De Aceite Motor</t>
  </si>
  <si>
    <t>Materiales planificados con Salida Cero: FILTRO DE ACEITE MB AXOR 2036/2035 - MANN HU 12 110X</t>
  </si>
  <si>
    <t>GKK500</t>
  </si>
  <si>
    <t>Materiales cargados no coinciden: ESCOBILLA LIMPIA PARABRISAS 24" - BOSCH (B172)</t>
  </si>
  <si>
    <t>Materiales cargados no coinciden: FILTRO DE AIRE APU - MANN TB1394/16X</t>
  </si>
  <si>
    <t>Cambiar Lampara de Faro Lateral</t>
  </si>
  <si>
    <t>Materiales cargados no coinciden: LAMPARA 24V 5W (C/CULOTE) - NEOLUX, RODAMIENTO PUENTE CARDAN 50MM - TIMKEN (HB88510)</t>
  </si>
  <si>
    <t>Cambio Arandela De Tapa Compresor</t>
  </si>
  <si>
    <t>2) Desconexión de material (Falta 'COMPRESOR', 'EXTREMO')</t>
  </si>
  <si>
    <t>Materiales cargados no coinciden: FUSIBLE 10 AMP - GENROD, FUSIBLE 10 AMP - GENROD, PRECINTOS 400X7,2MM X 100 UNI - BREMEN, FAROS LE FM181, FARO - (FM181) - 12714/D - TYC, LAMPARA H7 24V - HELLA, ARANDELA ALUMINIO 14MM, LIQUIDO REFRIGERANTE KRIOX INORGANICO X 1000LTS</t>
  </si>
  <si>
    <t>GOR397</t>
  </si>
  <si>
    <t>Cambiar Caja Reguladora De Freno Delantera Izquierda</t>
  </si>
  <si>
    <t>2) Desconexión de material (Falta 'TOP', 'PALANCA DE FRENADO', 'EXTREMO')</t>
  </si>
  <si>
    <t>Materiales cargados no coinciden: CAJA REGULADORA RECTA 26 ESTRIAS SEMI REMOLQUE ORIGINAL (Art. Reparado)., CAJA REGULADORA RECTA 26 ESTRIAS SEMI REMOLQUE ORIGINAL (Art. Reparado)., JUEGO DE BURLETES DE PUERTA MB 1215/1620 (A 688 987 71 55) - RGL (56518)</t>
  </si>
  <si>
    <t>Cambio De Faro Led Baiml 1035 Cristal</t>
  </si>
  <si>
    <t>Materiales cargados no coinciden: FARO LED COMPLETO (C/FICHA) BAIML 1010E (AMBAR), FARO LED COMPLETO (C/FICHA) BAIML 1010E (AMBAR), ACEITE 15W40 XV300 X 205LT (TAMBOR), FUSIBLE 15 AMP - GENROD, LIQUIDO REFRIGERANTE 50/50 X 1000LTS</t>
  </si>
  <si>
    <t>Colocar Membrana en Pasta al Techo 2 Manos</t>
  </si>
  <si>
    <t>Cambiar Vejiga Eje Neumatico Der</t>
  </si>
  <si>
    <t>2) Desconexión de material (Falta 'NEUMATICO', 'VEJIGA', 'RUEDA')</t>
  </si>
  <si>
    <t>Materiales cargados no coinciden: FUELLE DE SUSPENSION 31-170-140-435 - METALURGICA MA, BASE PARA FUELLE TC260-BC202A-140 - METALURGICA MA (3420), TORNILLO PUNTA DE MECHA 8 x 3/4, TORNILLO AUTOPERFORANTE 8X22MM x UNIDAD</t>
  </si>
  <si>
    <t>Cambiar Cinta De Freno Traccion Lado Izquierdo</t>
  </si>
  <si>
    <t>KRR046</t>
  </si>
  <si>
    <t>Cambiar cubierta de auxilio</t>
  </si>
  <si>
    <t>Materiales cargados no coinciden: RECAPADO NEUMATICO 295</t>
  </si>
  <si>
    <t>KTC854</t>
  </si>
  <si>
    <t>Ajustar Base Palanca De Cambios</t>
  </si>
  <si>
    <t>2) Desconexión de material (Falta 'BOCHA', 'EXTREMO')</t>
  </si>
  <si>
    <t>Materiales cargados no coinciden: LAMPARA 24V PY21W, INDICADOR DE TORQUE RUEDA/ CHECKPOINT DE 32 MM, FARO DE GIRO DER ATEGO (A 973 820 02 21) - TYC 11729/D, FARO DE GIRO ATEGO IZQ (A 973 820 01 21) - AUSILI (1078E)</t>
  </si>
  <si>
    <t>Cambiar Cinta Frenos 1Eje Lado Der</t>
  </si>
  <si>
    <t>AG404LX</t>
  </si>
  <si>
    <t>ACCELO 1016</t>
  </si>
  <si>
    <t>Cambio Tecla De Luz</t>
  </si>
  <si>
    <t>AD426HT</t>
  </si>
  <si>
    <t>Materiales cargados no coinciden: LAMPARA 24V 3W (S/CULOTE)</t>
  </si>
  <si>
    <t>OAF644</t>
  </si>
  <si>
    <t>Materiales cargados no coinciden: FILTRO DE COMBUSTIBLE SCANIA G310/G410/P340/R410 - MANN PU 941 X</t>
  </si>
  <si>
    <t>Cambiar Vejiga De LevanteLI</t>
  </si>
  <si>
    <t>Colocar Paragolpes Delantero</t>
  </si>
  <si>
    <t>2) Desconexión de material (Falta 'PARAGOLPE')</t>
  </si>
  <si>
    <t>Materiales cargados no coinciden: BULON HEXAGONAL 8X40MM X UN, VALVULA PEDALERA DE FRENO MB 1624 CON ESPARRAGO - WABCO 4613152470, DISCO DE LIJA 120 (ROTO-ORBITAL) - LINEA BLUE 3M, DISCO DE LIJA 80 (ROTO-ORBITAL) - LINEA BLUE 3M, LAMPARA H3 24V - NEOLUX, LAMPARA 24V 5W (C/CULOTE) - NEOLUX, SOPORTE DE FARO SUPERIOR DER/IZQ MB 1933/2035 (A 940 826 00 13) ORIGINAL, TUERCA DE 8MM, ARANDELAS PLANAS DE 8MM, BULON HEXAGONAL 1/4" X20MM X UN, ARANDELAS PLANAS DE 8MM, TUERCA 1/4, TORNILLO FIX PARA MADERA 6X40</t>
  </si>
  <si>
    <t>DTU738</t>
  </si>
  <si>
    <t>HILUX</t>
  </si>
  <si>
    <t>Cambiar Caja de Dirección Reparada</t>
  </si>
  <si>
    <t>AG079GB</t>
  </si>
  <si>
    <t>AE297QN</t>
  </si>
  <si>
    <t>KUF609</t>
  </si>
  <si>
    <t>Cambiar Bloqueador</t>
  </si>
  <si>
    <t>Materiales planificados con Salida Cero: VALVULA DE FRENO DE MANO MB AXOR/ATEGO/1933/2035/1725/2426 (A 000 420 02 84) ORIGINAL</t>
  </si>
  <si>
    <t>AD426HU</t>
  </si>
  <si>
    <t>Colocar Valvula Relay</t>
  </si>
  <si>
    <t>2) Desconexión de material (Falta 'VALVULA', 'RELAY')</t>
  </si>
  <si>
    <t>Materiales cargados no coinciden: KIT DE REPARACION DE COMPRESOR DE AIRE MB AXOR 2541 (110 003 01 00) - VADEN, FUSIBLE 30 AMP, PORTA FUSIBLE AEREO - ORO (1057), COMPRESOR DE AIRE (BICILINDRICO) MB 2541 (A 460 130 00 15) - ZEPLIN (SFP9125101070)</t>
  </si>
  <si>
    <t>Cambiar tapa de tanque de urea</t>
  </si>
  <si>
    <t>Materiales cargados no coinciden: TAPA DE UREA MB - TAMPAS TRINK (TA-1014), LAMPARA 24V 3W (S/CULOTE), AZUL 32 UREA x 1000LTS</t>
  </si>
  <si>
    <t>HRJ003</t>
  </si>
  <si>
    <t>2) Desconexión de material (Falta 'LAMPARA')</t>
  </si>
  <si>
    <t>Materiales cargados no coinciden: DESTELLADOR 24V 3T, ACEITE 15W40 XV300 X 205LT (TAMBOR)</t>
  </si>
  <si>
    <t>Cambiar alternador 2541</t>
  </si>
  <si>
    <t>Materiales cargados no coinciden: FUSIBLE 10 AMP, LAMPARA 24V 5W (C/CULOTE) - NEOLUX, FUSIBLE 10 AMP</t>
  </si>
  <si>
    <t>GDR527</t>
  </si>
  <si>
    <t>Materiales cargados no coinciden: FILTRO DE COMBUSTIBLE - MANN WK1156</t>
  </si>
  <si>
    <t>Materiales cargados no coinciden: ABRAZADERA (12MM) 23-35MM x UN, FILTRO DE DIRECCION HIDRAULICA MB 1114/1318/1620/1634/1720/710/712/914, MICA BAIML 1035 COLOR AMBAR (LED)</t>
  </si>
  <si>
    <t>OIC419</t>
  </si>
  <si>
    <t>AD367PZ</t>
  </si>
  <si>
    <t>Materiales cargados no coinciden: CINTOS DE LONA CECCONI ART.-02040027, ARANDELAS PLANAS DE 8MM, HEBILLA COMPLETA - LONA, PORTA FUSIBLE AEREO - ORO (1057), RESORTE RECTO RETRACCION P/PATIN FRENO MASTER GANCHO MOVIL (18 X 132 X 5MM) - EDC, CUBIERTA LINEAL 295 R22.5 - FATE, TERMINAL OJAL DE 6MM, TORNILLO PUNTA DE MECHA 8 x 3/4, TERMINAL OJAL 4MM, PRECINTOS GRETEL 400X4,8MM X 100 UNI, FUSIBLE 10 AMP - GENROD, BULON HEXAGONAL M8x20MM (PASO 1.25) - ACERO DUREZA 8.8 - ZINCADO/GALVANIZADO - x UN, CABLE TIPO TALLER DE 2 X 1,5 MM</t>
  </si>
  <si>
    <t>Colocar Tornillo a Traba De Porton Trasero</t>
  </si>
  <si>
    <t>OJG064</t>
  </si>
  <si>
    <t>Materiales cargados no coinciden: MICA BAIML 1035 COLOR AMBAR (LED), LAMPARA 24V 21/5W</t>
  </si>
  <si>
    <t>KKZ669</t>
  </si>
  <si>
    <t>Colocar Realy 5pat con Socalo</t>
  </si>
  <si>
    <t>Colocar Luz Testigo</t>
  </si>
  <si>
    <t>AF639HA</t>
  </si>
  <si>
    <t>NIE149</t>
  </si>
  <si>
    <t>Cambiar lampra 21w 24v</t>
  </si>
  <si>
    <t>Cambiar Lámpara Reglamentarias</t>
  </si>
  <si>
    <t>Cambiar Sensor de Valvulas de 6 Vias</t>
  </si>
  <si>
    <t>FVH034</t>
  </si>
  <si>
    <t>710</t>
  </si>
  <si>
    <t>Cambiar barra corta de direccion completa</t>
  </si>
  <si>
    <t>2) Desconexión de material (Falta 'CORREA', 'PINON', 'EXTREMO')</t>
  </si>
  <si>
    <t>Materiales cargados no coinciden: BARRA CORTA DE DIRECCION MB 710 (A 688 460 09 05) - SADAR (5RT90098), BARRA CORTA DE DIRECCION MB 710 (A 688 460 09 05) - SADAR (5RT90098)</t>
  </si>
  <si>
    <t>Cambio Caja Reguladora De Frenos Del Izq</t>
  </si>
  <si>
    <t>Materiales cargados no coinciden: CORREA 8PK 1380 - CONTINENTAL, CAJA REGULADORA TRASERA 28 ESTRIAS UNIVERSAL (Art. Reparado)., MICA TRASERA MB TRICOLOR 1215/710 (A 002 544 40 90) - FITAM (68029), ARANDELA ALUMINIO 14MM, LIQUIDO REFRIGERANTE KRIOX INORGANICO X 1000LTS</t>
  </si>
  <si>
    <t>Colocar Membrana Tira en Techo</t>
  </si>
  <si>
    <t>Sacar Ruda Delantera der y Cambiar valvula</t>
  </si>
  <si>
    <t>2) Desconexión de material (Falta 'VALVULA')</t>
  </si>
  <si>
    <t>Materiales cargados no coinciden: DIAFRAGMA DE FRENO PARA PULMON DE FRENO  N16 (COPA BAJA)</t>
  </si>
  <si>
    <t>Cambiar Cubiertas Del. DD/DI Desarme y Arme</t>
  </si>
  <si>
    <t>KBO542</t>
  </si>
  <si>
    <t>Cambiar Flexible De Escape</t>
  </si>
  <si>
    <t>Materiales planificados con Salida Cero: FLEXIBLE DE TUBO DE ESCAPE MB 1933 (A 958 490 00 65) ORIGINAL</t>
  </si>
  <si>
    <t>LFK336</t>
  </si>
  <si>
    <t>OMQ199</t>
  </si>
  <si>
    <t>OAF640</t>
  </si>
  <si>
    <t>Materiales cargados no coinciden: BOMBA LEVANTA CABINA SCANIA G310 (2204435) - ORIGINAL, FARO DELANTERO DER SCANIA G310 - FA801812 - NINO, LAMPARA CREE LED H7 24V - OSRAM, LAMPARA H1 24V  - OSRAM</t>
  </si>
  <si>
    <t>Cambiar Cubierta 2II</t>
  </si>
  <si>
    <t>Parametrizar todos los cambios</t>
  </si>
  <si>
    <t>NWV172</t>
  </si>
  <si>
    <t>Cambio Acrilico 1035 Ambar</t>
  </si>
  <si>
    <t>2) Desconexión de material (Falta 'ACRILICO', 'EXTREMO')</t>
  </si>
  <si>
    <t>Materiales cargados no coinciden: LAMPARA 24V 5W (S/CULOTE) - OSRAM, MICA BAIML 1035 COLOR AMBAR (LED), PULMON DE FRENO 30/30 CON BLOQUEADOR</t>
  </si>
  <si>
    <t>Sacar y Colocar Parrilla Delantera</t>
  </si>
  <si>
    <t>2) Desconexión de material (Falta 'PARRILLA')</t>
  </si>
  <si>
    <t>Materiales cargados no coinciden: ACOPLE RAPIDO RECTO DE 8MM, CONEXION DE BRONCE RECTA 1/4" - 1/4", CONEXION DE BRONCE RECTA 1/4" - 1/4", BULÓN HEXAGONAL M8 X 20 MM PASO 1.25 DUREZA 8.8 MATERIAL ACERO BICROMATADO, VALVULA PEDALERA  DE FRENO MB 1624 SIN ESPARRAGO - WABCO 4613152460, LAMPARA 24V 5W (C/CULOTE) - NEOLUX, FARO DE GALIBO DELANTERA ARRIBA BLANCO MB 1933 (A 002 820 51 56/A 002 820 50 56) - FITAM (68048), ACEITE 15W40 XV300 X 205LT (TAMBOR), ACOPLE RÁPIDO RECTO DE 6MM (UNIVERSAL), ACOPLE RAPIDO RECTO DE 8MM</t>
  </si>
  <si>
    <t>AF746EM</t>
  </si>
  <si>
    <t>170E30TLA22 EBS</t>
  </si>
  <si>
    <t>Materiales cargados no coinciden: FILTRO DE COMBUSTIBLE (CARTUCHO PREFILTRO) IVECO TECTOR (5801403243), FILTRO DE COMBUSTIBLE IVECO TECTOR - NEXPRO (500041178)</t>
  </si>
  <si>
    <t>Cambiar Maquina levanta Cristal Der</t>
  </si>
  <si>
    <t>Materiales cargados no coinciden: TORNILLO FIX PARA MADERA 6X40, CINTA DE TELA SUJETA CABLES 19MM X ROLLO, LAMPARA 24V 5W (C/CULOTE) - NEOLUX, PORTA LAMPARA PARA FARO COLGANTE DOBLE/SIMPLE 1035/6 (AMBAR/AMBAR) SIN CABLE - BAIML, ACEITE 15W40 XV300 X 205LT (TAMBOR), TORNILLO PUNTA DE MECHA 8 x 3/4, MANIJA ALZA CRISTALES MB 1720/1620/1634/1318 (A 688 760 70 02) - RGL (2146G), COLIZA IZQ AXOR/ATEGO (A 958 722 00 25) - LISGOM, MAQUINA ALZA CRISTALES DER MB 1318/1624/1620/1720 (A 688 720 76 46) - RGL (56611D), TORNILLO PUNTA MECHA CABEZA HEXAGONAL 5/16 X 1" X UN</t>
  </si>
  <si>
    <t>NIE154</t>
  </si>
  <si>
    <t>2) Desconexión de material (Falta 'FUSIBLE', 'EXTREMO')</t>
  </si>
  <si>
    <t>Materiales cargados no coinciden: TUERCA 5/16, TACO DE PARAGOLPE 190x70x60 PARA REMOLQUES, FARO COLGANTE DOBLE 1035/6 (AMBAR/AMBAR) - BAIML, SIKAFLEX 221 x 600ml (SALCHICHA), BULON 5/16 X2 1/2", ARANDELAS PLANAS DE 8MM, MEDIDOR DE COMBUSTIBLE MB 1215/1620/1634/1218/1318/1622/914/915/1418 (A 003 542 28 03) ORIGINAL</t>
  </si>
  <si>
    <t>AF642OT</t>
  </si>
  <si>
    <t>Colocar Carroceria Del AF066NU</t>
  </si>
  <si>
    <t>AE243WV</t>
  </si>
  <si>
    <t>ATEGO 2426</t>
  </si>
  <si>
    <t>Materiales cargados no coinciden: LAMPARA H7 24V - HELLA, FARO COLGANTE DOBLE 1035/6 (AMBAR/AMBAR), MICA BAIML 1035 COLOR AMBAR (LED), AZUL 32 UREA x 1000LTS</t>
  </si>
  <si>
    <t>LFK339</t>
  </si>
  <si>
    <t>Materiales cargados no coinciden: REPARACION DE VALVULA PROTECTORA 4 VIAS (ART. REPARADO), REPARACION DE VALVULA DE SECADO (ART. REPARADO), FILTRO DE AIRE APU - MANN TB1374/13X, PRECINTOS 400X7,2MM X 100 UNI - RODA</t>
  </si>
  <si>
    <t>Cambiar buje leva 1Eje Der</t>
  </si>
  <si>
    <t>2) Desconexión de material (Falta 'BUJE')</t>
  </si>
  <si>
    <t>AF444TW</t>
  </si>
  <si>
    <t>AF737MQ</t>
  </si>
  <si>
    <t>Cambiar aceite de diferencial</t>
  </si>
  <si>
    <t>2) Desconexión de material (Falta 'ACEITE')</t>
  </si>
  <si>
    <t>Materiales cargados no coinciden: HIPOIDAL 80W90 T 205 LT - TAMBOR DE CAJA Y DIFERENCIAL</t>
  </si>
  <si>
    <t>Cambiar Valvula Relay</t>
  </si>
  <si>
    <t>2) Desconexión de material (Falta 'RELAY')</t>
  </si>
  <si>
    <t>Cambio Correa 9PK 2338</t>
  </si>
  <si>
    <t>Materiales cargados no coinciden: JUNTA DE BOMBA DE AGUA MB 2541 (A 457 201 03 80) ORIGINAL, BOMBA DE AGUA MB 2035/2541 (A 457 200 16 01) ORIGINAL, CORREA 9PK 2338HD - DAYCO, TUERCA DE 10MM PASO 1,5 (DUREZA 8,8), CAÑO POLIAMIDA TECALAN DE 6MM X MTS, LAMPARA 24V 21W - HELLA, MICA FARO TRASERO MB 2541 (A 002 544 73 90) - FITAM, LAMPARA 24V 21/5W, PRECINTOS GRETEL 200X3,6MM X 100 UNI, AMORTIGUADOR DE CABINA CON FUELLE SCANIA G310 (1870615) - BINS, BATERIA 12V 180A - MOURA, LAMPARA 24V 5W (C/CULOTE) - NEOLUX, PRECINTOS GRETEL 400X4,8MM X 100 UNI, ACEITE 15W40 XV300 X 205LT (TAMBOR)</t>
  </si>
  <si>
    <t>AF114FP</t>
  </si>
  <si>
    <t>Cambiar Cubierta 2DE</t>
  </si>
  <si>
    <t>Diagnóstico</t>
  </si>
  <si>
    <t>JAD357</t>
  </si>
  <si>
    <t>Materiales cargados no coinciden: FUSIBLE 15 AMP</t>
  </si>
  <si>
    <t>Colocar Membrana GeoTextil al Techo</t>
  </si>
  <si>
    <t>Materiales cargados no coinciden: LAMPARA 24V 5W (S/CULOTE) - NEOLUX, REPARACION DE VALVULA DISTRIBUIDORA (ART. REPARADO), LAMPARA 24V 5W (S/CULOTE) - NEOLUX, MICA BAIML 1035 COLOR AMBAR (LED), LAMPARA 24V 21W - HELLA, FILTRO DE AIRE APU - MANN TB1374/13X</t>
  </si>
  <si>
    <t>Cambiar Caja Reguladora De Frenos 2 Eje Izq</t>
  </si>
  <si>
    <t>GEB768</t>
  </si>
  <si>
    <t>Cambiar Baterias</t>
  </si>
  <si>
    <t>OAF642</t>
  </si>
  <si>
    <t>Cambiar Pedalera</t>
  </si>
  <si>
    <t>Materiales cargados no coinciden: ACEITE 15W40 XV300 X 205LT (TAMBOR), ESCOBILLA LIMPIA PARABRISAS 26" (650MM) - BOSCH (B162)</t>
  </si>
  <si>
    <t>2) Desconexión de material (Falta 'BOCHA', 'EXTREMO', 'FUELLE')</t>
  </si>
  <si>
    <t>AF865RV</t>
  </si>
  <si>
    <t>Colocar patente</t>
  </si>
  <si>
    <t>KVP166</t>
  </si>
  <si>
    <t>Armado Y Desarmado + Cambio Cubiertas Neumatico 3IE/3II/3DE/3DI. Recapada</t>
  </si>
  <si>
    <t>2) Desconexión de material (Falta 'NEUMATICO', 'LONA', 'EXTREMO')</t>
  </si>
  <si>
    <t>Materiales cargados no coinciden: PULMON DE FRENO 30/30 CON BLOQUEADOR - MKF, RESORTE BICONICO P/PATIN FRENO MASTER (31,5 X 210 X 5MM.), RETEN DE RUEDA TRASERA PARA SEMIREMOLQUE - SABO (S4302), MANOMETRO REGULADOR DE PRESION C/ RELOJ - EPN (702-06), LAMPARA 24V 5W (C/CULOTE) - NEOLUX, LAMPARA 24V 21W - HELLA, CINTA DE ENMASCARAR RAPIFIX 48X50, SIKAFLEX 221 x 600ml (SALCHICHA), POLYFIBER SIKKENS X 1.5KG, READECUACION DE CINTAS DE FRENO (SEMI REMOLQUE) (ART. REPARADO), SEGURO PARA RODIILLO DE PATIN DE FRENO - RG (9960), READECUACION DE CINTAS DE FRENO (SEMI REMOLQUE) (ART. REPARADO), FARO SEMI REMOLQUE IZQ - BAIML (3100ED), ARANDELA PLANAS DE 10MM, TORNILLO PUNTA DE MECHA (3/8 -14X1") X UN, CHAPA GALVANIZADA 0.30X16.50 MTS (ESPESOR 0.7) X UN, MEMBRANA GEOTEXTIL MEGAFLEX TRANSITABLE GEOTRANS x 40KG</t>
  </si>
  <si>
    <t>AF364MN</t>
  </si>
  <si>
    <t>ATEGO 1419</t>
  </si>
  <si>
    <t>Materiales planificados con Salida Cero: LAMPARA 24V 5W (S/CULOTE) - NEOLUX</t>
  </si>
  <si>
    <t>Materiales cargados no coinciden: PORTALAMPARAS DE LUZ DE LIMITACION MB AXOR 2036/2035 (A 001 826 47 82) - GT, LAMPARA 24V PY21W</t>
  </si>
  <si>
    <t>JXJ303</t>
  </si>
  <si>
    <t>Materiales cargados no coinciden: FILTRO DE ACEITE IVECO TECTOR (500041216) - NEXPRO, ACEITE 15W40 XV300 X 205LT (TAMBOR)</t>
  </si>
  <si>
    <t>Colocar Tristop Eje Nuematico Der</t>
  </si>
  <si>
    <t>OZH811</t>
  </si>
  <si>
    <t>Cambiar valvula secadora</t>
  </si>
  <si>
    <t>Materiales planificados con Salida Cero: REMACHES 3.5 X20 MM X UN, REPARACION DE VALVULA PROTECTORA 4 VIAS (ART. REPARADO), REPARACION DE VALVULA 6 VIAS (ART. REPARADO), FILTRO DE AIRE APU MB ACTROS 2045 (A 000 429 27 97) - MANN TB 1394/8X, GRASA 62 X 20 KG</t>
  </si>
  <si>
    <t>OJG075</t>
  </si>
  <si>
    <t>Cambiar Lona</t>
  </si>
  <si>
    <t>Materiales planificados con Salida Cero: TACO DE PARAGOLPE 190x80x70 PARA REMOLQUES - NUGOM</t>
  </si>
  <si>
    <t>Cambiar Bajada De Vigia Ldo Derecho</t>
  </si>
  <si>
    <t>2) Desconexión de material (Falta 'BAJADA DE VIGIA')</t>
  </si>
  <si>
    <t>Colocacion Rack Sistemas</t>
  </si>
  <si>
    <t>Cambiar bujes de elasticos traseros</t>
  </si>
  <si>
    <t>AB320YW</t>
  </si>
  <si>
    <t>Materiales cargados no coinciden: ESCOBILLA LIMPIA PARABRISAS 24" - BOSCH (B172), BULON HEXAGONAL 1/4" X20MM X UN, TUERCA 1/4, ARANDELAS PLANAS DE 8MM, INDICADOR DE TORQUE RUEDA/ CHECKPOINT DE 32 MM</t>
  </si>
  <si>
    <t>AF461DV</t>
  </si>
  <si>
    <t>Colocar Paragolpes Trasero</t>
  </si>
  <si>
    <t>Materiales cargados no coinciden: BATERIA 12V 90A - MOURA</t>
  </si>
  <si>
    <t>Cambiar Faro De Giro Delantero Der Rep.</t>
  </si>
  <si>
    <t>Materiales cargados no coinciden: ALZA CRISTALES MECANICO DER ATEGO/AXOR (A 973 720 02 46) - EDC, FILTRO DE AIRE APU - MANN TB1394/16X, BULON HEXAGONAL 1/4" X40 MM X UN, TUERCA 1/4, ARANDELAS PLANAS DE 8MM, INDICADOR DE TORQUE RUEDA/ CHECKPOINT DE 32 MM</t>
  </si>
  <si>
    <t>2) Desconexión de material (Falta 'NEUMATICO', 'EXTREMO')</t>
  </si>
  <si>
    <t>Colocar Turbo Motor</t>
  </si>
  <si>
    <t>OFZ590</t>
  </si>
  <si>
    <t>Materiales cargados no coinciden: LAMPARA 24V 5W (S/CULOTE) - NEOLUX, TORNILLO AUTOPERFORANTE 8X22MM x UNIDAD</t>
  </si>
  <si>
    <t>OJG101</t>
  </si>
  <si>
    <t>OHH592</t>
  </si>
  <si>
    <t>Cambiar lampara h1 24v</t>
  </si>
  <si>
    <t>Materiales planificados con Salida Cero: LAMPARA H1 24V</t>
  </si>
  <si>
    <t>OHH591</t>
  </si>
  <si>
    <t>Cambiar Lámpara Posición</t>
  </si>
  <si>
    <t>Materiales planificados con Salida Cero: LAMPARA P21 24V 5W - NEOLUX</t>
  </si>
  <si>
    <t>Cambiar Burlete De Puerta Der/Izq</t>
  </si>
  <si>
    <t>AF156NM</t>
  </si>
  <si>
    <t>Materiales cargados no coinciden: FILTRO DE ACEITE SPRINTER 316/416 - MANN HU 7010 Z, ARANDELA ALUMINIO 14MM, ACEITE 5W 30 YPF X 20LTS</t>
  </si>
  <si>
    <t>OHH596</t>
  </si>
  <si>
    <t>KMN385</t>
  </si>
  <si>
    <t>Materiales cargados no coinciden: ROTOR DE SISTEMA INTERNO CON RESPIRO Y ACOPLES - VIGIA (A01.00693-8)</t>
  </si>
  <si>
    <t>Cambio Filtro Hidráulico</t>
  </si>
  <si>
    <t>Materiales cargados no coinciden: ABRAZADERA (12MM) 23-35MM x UN, TACO DE PARAGOLPE 190x70x60 PARA REMOLQUES - NUGOM, ACEITE HIDRAULICO BP 68 X 20LTS, BULON 5/16 X2 1/2", ARANDELAS PLANAS DE 8MM, TUERCA 5/16, FILTRO DE DIRECCION HIDRAULICA MB 1114/1318/1620/1634/1720/710/712/914</t>
  </si>
  <si>
    <t>Colocar Vejiga</t>
  </si>
  <si>
    <t>Colocar depsosito de agua</t>
  </si>
  <si>
    <t>JHD033</t>
  </si>
  <si>
    <t>Materiales planificados con Salida Cero: DIAFRAGMA DE FRENO N 30, VALVULA RELAY TIPO BENDIX R-12 1/2 NPT (R2400) SEMIREMOLQUES</t>
  </si>
  <si>
    <t>GRE072</t>
  </si>
  <si>
    <t>Cambiar Campana Rectificadas</t>
  </si>
  <si>
    <t>Traslado a San Justo para Recambio de Cubierta Nueva por Deformación</t>
  </si>
  <si>
    <t>AG238NS</t>
  </si>
  <si>
    <t>Materiales cargados no coinciden: LAMPARA H7 24V - HELLA, FUSIBLE 20 AMP, ACEITE 15W40 XV300 X 205LT (TAMBOR), ACOPLE RÁPIDO RECTO DE 12MM (UNIVERSAL)</t>
  </si>
  <si>
    <t>Materiales cargados no coinciden: LAMPARA 24V 5W (S/CULOTE) - NEOLUX, MICA BAIML 1035 COLOR AMBAR (LED)</t>
  </si>
  <si>
    <t>Cambiar Volante</t>
  </si>
  <si>
    <t>Cambiar Barra De Direccion Larga</t>
  </si>
  <si>
    <t>Materiales cargados no coinciden: ACEITE 15W40 XV300 X 205LT (TAMBOR), FILTRO DE ACEITE MB AXOR 2036/2035 - MANN HU 12 110X</t>
  </si>
  <si>
    <t>Materiales cargados no coinciden: FILTRO TRAMPA DE AGUA MB 1933S (A 000 470 24 90) - RE160JQII - MARCA RAMA, FILTRO DE COMBUSTIBLE - MANN PU999/1X</t>
  </si>
  <si>
    <t>Cambiar Manguera De Entrada De Turbo</t>
  </si>
  <si>
    <t>Materiales cargados no coinciden: FILTRO DE COMBUSTIBLE - MANN PU999/1X, FILTRO TRAMPA DE AGUA - WIX (WF 10288), FILTRO TRAMPA DE AGUA - WIX (WF 10288)</t>
  </si>
  <si>
    <t>Materiales cargados no coinciden: FUSIBLE 10 AMP, FUSIBLE 15 AMP, LAMPARA 24V 21/5W</t>
  </si>
  <si>
    <t>Cambiar valvula 4 vias</t>
  </si>
  <si>
    <t>KBO540</t>
  </si>
  <si>
    <t>Sacar Parasol del GLT550 Para Colocar al KBO540</t>
  </si>
  <si>
    <t>Materiales cargados no coinciden: PORTA LAMPARA DE 1 POLO, LAMPARA 24V PY21W, RELAY 5 PATAS 24V, REPARACION DE ALTERNADOR 24V (Art. Reparado), SOPORTE DE ROTOR DOBLE "T" 210M/M - VIGIA</t>
  </si>
  <si>
    <t>KER728</t>
  </si>
  <si>
    <t>AE390JS</t>
  </si>
  <si>
    <t>VOLKSWAGEN CONSTELLATION 17.230 ROBUST</t>
  </si>
  <si>
    <t>Cambiar parabrisas</t>
  </si>
  <si>
    <t>Cambiar Motor Limpiaparabrisas</t>
  </si>
  <si>
    <t>Materiales cargados no coinciden: REPARACION DE MOTOR LIMPIA PARABRISAS (ART. REPARADO)</t>
  </si>
  <si>
    <t>AG043HA</t>
  </si>
  <si>
    <t>Materiales cargados no coinciden: ARANDELA ALUMINIO 20MM, FILTRO DE AIRE APU - MANN TB1394/16X, FILTRO DE UREA MB 1729S (A 000 142 02 89) - MANN U 58/1 KIT</t>
  </si>
  <si>
    <t>Colocacion TV Taller</t>
  </si>
  <si>
    <t>Cambiar Turbo Motor</t>
  </si>
  <si>
    <t>Cambiar Luz De Carroceria</t>
  </si>
  <si>
    <t>Materiales cargados no coinciden: BATERIA 12V 100A - MOURA (ME100HA), REPARACION DE ARRANQUE 24V (Art. Reparado), RECAPADO CUBIERTA 275 TACO</t>
  </si>
  <si>
    <t>NIE148</t>
  </si>
  <si>
    <t>Materiales cargados no coinciden: DESTELLADOR 24V 4T - RALUX, LAMPARA 24V 3W (S/CULOTE), MICA BAIML 1035 COLOR AMBAR (LED), TAPA DE GASOIL MB UNIVERSAL (TV-4080) - TRINK, FILTRO DE AIRE APU - MANN TB1374/13X, LAMPARA 24V 21W - HELLA, ACEITE 15W40 XV300 X 205LT (TAMBOR)</t>
  </si>
  <si>
    <t>GOX957</t>
  </si>
  <si>
    <t>Cambio de Cubierta DD y DI - Fate Nuevas</t>
  </si>
  <si>
    <t>Materiales cargados no coinciden: LAMPARA H1 24V  - NEOLUX, CUBIERTA LINEAL 275 R22.5 - FATE, TORNILLO AUTOPERFORANTE HEXAGONAL 1/4" (Ø6.3MM) X 1 1/2" – CABEZA 3/8" C/ ARANDELA – ACERO ZINCADO –</t>
  </si>
  <si>
    <t>JXZ244</t>
  </si>
  <si>
    <t>Materiales cargados no coinciden: FUSIBLE 10 AMP, LIQUIDO REFRIGERANTE KRIOX ORGANICO YPF X 205LTS</t>
  </si>
  <si>
    <t>Cambiar Pata De Caja Izq</t>
  </si>
  <si>
    <t>Materiales cargados no coinciden: PATA DE MOTOR TRASERA MB 1933 (A 940 240 12 18) - ORIGINAL, CUBIERTA LINEAL 295 R22.5 - FATE, KIT REPARACION PATA DE MOTOR DELANTERA MB 1933 - REI (R3326)</t>
  </si>
  <si>
    <t>Materiales planificados con Salida Cero: ACEITE 15W40 XV300 X 205LT (TAMBOR), FILTRO DE ACEITE 6 CILINDROS MB 1725/1726/1933/1624L/1721 OF ELECTRONICO - MANN HU 945/2x</t>
  </si>
  <si>
    <t>Cambiar comando levanta vidrio</t>
  </si>
  <si>
    <t>Cambiar Ficha de Alternador</t>
  </si>
  <si>
    <t>2) Desconexión de material (Falta 'FICHA')</t>
  </si>
  <si>
    <t>Cambiar Barreros</t>
  </si>
  <si>
    <t>Materiales cargados no coinciden: GUARDABARROS SOLA Y BRUSA SEMIREMOLQUE - ASTPRA (ASP 27.14.86), CAÑO POLIAMIDA TECALAN DE 6MM X MTS, RECAPADO NEUMATICO 275, TAPON DE ROSCA DE MOTOR - VIGIA (-X1414.a012-6), BARRERO LISO DE 64,5CM DE ANCHO x50 CM DE LARGO, PRECINTOS 400X7,2MM X 100 UNI - RODA, BULON HEXAGONAL ACERO ZINCADO 1/4" X 40MM - PASO 1,5MM, TUERCA AUTOFRENANTE HEXAGONAL ACERO ZINCADO 1/4" - PASO 1,5MM, ARANDELA PLANA ACERO ZINCADO 1/4"</t>
  </si>
  <si>
    <t>GDR525</t>
  </si>
  <si>
    <t>Cambiar Bujes y Pernos De Eje</t>
  </si>
  <si>
    <t>Balancines Sacar Embujar y Colocar</t>
  </si>
  <si>
    <t>Materiales cargados no coinciden: FILTRO DE ACEITE 6 CILINDROS MB 1725/1726/1933/1624L/1721 OF ELECTRONICO - MANN HU 945/2x, ARANDELA ALUMINIO 20MM, ACEITE 15W40 XV300 X 205LT (TAMBOR)</t>
  </si>
  <si>
    <t>Cambiar Cubierta 3II</t>
  </si>
  <si>
    <t>AF066NT</t>
  </si>
  <si>
    <t>Materiales cargados no coinciden: LAMPARA 24V 5W (C/CULOTE) - NEOLUX</t>
  </si>
  <si>
    <t>IVD941</t>
  </si>
  <si>
    <t>Cambiar Caja Reguladora De Frenos 3 Eje</t>
  </si>
  <si>
    <t>Materiales cargados no coinciden: FUSIBLE 30 AMP</t>
  </si>
  <si>
    <t>AD426HZ</t>
  </si>
  <si>
    <t>Cambiar Triller Completo C/Cable</t>
  </si>
  <si>
    <t>Materiales cargados no coinciden: MOTOR LIMPIA PARABRISAS MB 1318 24V (CON FICHA) (A 696 824 70 01) - TAMATEL (48008), ESCOBILLA LIMPIA PARABRISAS 22" MB SPRINTER - TRICO TR 70-220, INDICADOR DE TORQUE RUEDA/ CHECKPOINT DE 32 MM</t>
  </si>
  <si>
    <t>Cambiar separador de carroceria y caja</t>
  </si>
  <si>
    <t>2) Desconexión de material (Falta 'SEPARADOR')</t>
  </si>
  <si>
    <t>Materiales cargados no coinciden: TABLAS DE EUCALIPTO 1" ESPESOR X 3" ANCHO X 3,50M DE LARGO</t>
  </si>
  <si>
    <t>Colocar Valvula de Aire</t>
  </si>
  <si>
    <t>HUY047</t>
  </si>
  <si>
    <t>Colocación Jgo De Aros MB 366</t>
  </si>
  <si>
    <t>Materiales cargados no coinciden: RADIADOR DE CALEFACCION MB AXOR 1933/ATEGO 1725 (000 830 34 20/383) ORIGINAL, VALVULA PEDALERA  DE FRENO MB 1624 SIN ESPARRAGO - WABCO 4613152460, BULON HEXAGONAL 6X25MM X UN, ARANDELAS PLANAS DE 8MM</t>
  </si>
  <si>
    <t>Colocar Motor Limpia Parabrisas Completo</t>
  </si>
  <si>
    <t>2) Desconexión de material (Falta 'PARABRISAS', 'LEVANTAVENTANAS')</t>
  </si>
  <si>
    <t>Cambiar Cubiertas Del. 1/2 Uso DD/DI Desarme Y Arme</t>
  </si>
  <si>
    <t>2) Desconexión de material (Falta 'NEUMATICO', 'LONA', 'CHAPA')</t>
  </si>
  <si>
    <t>Materiales cargados no coinciden: ARANDELAS PLANAS DE 8MM, TUERCA 5/16, BULON 5/16 X2 1/2"</t>
  </si>
  <si>
    <t>Colocar 4 Tornillos/Tuercas a Abrazadera de Buje de Leva</t>
  </si>
  <si>
    <t>Cambiar Caja Reguladora De Frenos 3 Eje Izq</t>
  </si>
  <si>
    <t>Cambiar Tacos De Goma C/Tornillo</t>
  </si>
  <si>
    <t>2) Desconexión de material (Falta 'TACO')</t>
  </si>
  <si>
    <t>IVD940</t>
  </si>
  <si>
    <t>Cambio Rotor De Vigia A Segundo Eje Lado Der</t>
  </si>
  <si>
    <t>Cambiar Pata De Caja Der</t>
  </si>
  <si>
    <t>Materiales planificados con Salida Cero: FILTRO DE AIRE PRIMARIO MB 1633 - MANN C 24 650/1</t>
  </si>
  <si>
    <t>Cambiar escobillas limpia parabrisas Der</t>
  </si>
  <si>
    <t>2) Desconexión de material (Falta 'ESCOBILLA', 'PARABRISAS')</t>
  </si>
  <si>
    <t>Materiales cargados no coinciden: FARO LED COMPLETO (C/FICHA) BAIML 1010E (AMBAR), BULON HEXAGONAL M8x20MM (PASO 1.25) - ACERO DUREZA 8.8 - ZINCADO/GALVANIZADO - x UN, TUERCA DE 8MM, AZUL 32 UREA x 1000LTS, PRECINTOS GRETEL 400X4,8MM X 100 UNI</t>
  </si>
  <si>
    <t>Cambiar Cable De Puerta Der</t>
  </si>
  <si>
    <t>Materiales cargados no coinciden: ESCOBILLA LIMPIA PARABRISAS 26" (650MM) - BOSCH (B162)</t>
  </si>
  <si>
    <t>Cambiar Rodillo de Cinta 1 Eje Der</t>
  </si>
  <si>
    <t>2) Desconexión de material (Falta 'RODILLO')</t>
  </si>
  <si>
    <t>Colocar Campana 1 Eje Der</t>
  </si>
  <si>
    <t>AF653AA</t>
  </si>
  <si>
    <t>AG095MR</t>
  </si>
  <si>
    <t>Materiales cargados no coinciden: FILTRO DE ACEITE SCANIA G310 - MANN HU1077/2Z, ACEITE 15W40 XV300 X 205LT (TAMBOR)</t>
  </si>
  <si>
    <t>Cambiar Acrilico Trasero MB</t>
  </si>
  <si>
    <t>2) Desconexión de material (Falta 'ACRILICO')</t>
  </si>
  <si>
    <t>Cambio 4 Cubiertas del Eje Tractor, 275 Tacos. Desarme y Arme</t>
  </si>
  <si>
    <t>IDJ797</t>
  </si>
  <si>
    <t>S FP 3E 98</t>
  </si>
  <si>
    <t>Cambiar tapa deposito de agua motor</t>
  </si>
  <si>
    <t>2) Desconexión de material (Falta 'LEVANTAVENTANAS', 'DEPOSITO DE AGUA', 'DEPOSITO')</t>
  </si>
  <si>
    <t>Materiales cargados no coinciden: FILTRO TRAMPA DE AGUA MB 1933S (A 000 470 24 90) - MANN PU 9198X, FILTRO DE COMBUSTIBLE - MANN PU1046/1X</t>
  </si>
  <si>
    <t>GFZ651</t>
  </si>
  <si>
    <t>Cambiar Reloj De Combustible</t>
  </si>
  <si>
    <t>Materiales cargados no coinciden: DESTELLADOR 24V 4T - DNI, MEDIDOR DE COMBUSTIBLE MB 1215/1620/1634/1218/1318/1622/914/915/1418 (A 003 542 28 03) ORIGINAL</t>
  </si>
  <si>
    <t>AF156NL</t>
  </si>
  <si>
    <t>Materiales cargados no coinciden: FILTRO DE ACEITE SPRINTER 316/416 - MANN HU 7010 Z, ACEITE 5W 30 YPF X 20LTS</t>
  </si>
  <si>
    <t>Cambio Faro Colgante</t>
  </si>
  <si>
    <t>AF504DR</t>
  </si>
  <si>
    <t>AG204ZX</t>
  </si>
  <si>
    <t>Cambiar Tristop 3 Eje Lado Der</t>
  </si>
  <si>
    <t>2) Desconexión de material (Falta 'BALANCIN')</t>
  </si>
  <si>
    <t>Materiales cargados no coinciden: ESCOBILLA LIMPIA PARABRISAS 24" - BOSCH (B172), BRAZO DE LIMPIAPARABRISAS MB 709/1620/1634 (A 694 820 01 44) ORIGINAL, REPARACION MOTOR DE CALEFACCION 24V (ART. REPARADO), MICA BAIML 1035 COLOR AMBAR (LED)</t>
  </si>
  <si>
    <t>Cambiar Difragma de Pulmo de Freno</t>
  </si>
  <si>
    <t>2) Desconexión de material (Falta 'TECLA', 'LUZ', 'EXTREMO')</t>
  </si>
  <si>
    <t>OJG065</t>
  </si>
  <si>
    <t>Materiales cargados no coinciden: LAMPARA 24V 21W, LAMPARA 24V 5W (C/CULOTE) - NEOLUX</t>
  </si>
  <si>
    <t>OJG063</t>
  </si>
  <si>
    <t>Cambiar Lamparas 24V 21/5w Varias</t>
  </si>
  <si>
    <t>Materiales cargados no coinciden: LAMPARA 24V 21/5W, FILTRO DE HABITACULO MB AXOR 2036 - MANN CU 4469, LAMPARA 24V 21W - HELLA, MICA FARO TRASERO MB 2541 (A 002 544 73 90) - FITAM, AZUL 32 UREA x 1000LTS, LAMPARA 24V 5W (C/CULOTE)</t>
  </si>
  <si>
    <t>Colocar Caja Reguladora de Freno Tras Izq</t>
  </si>
  <si>
    <t>2) Desconexión de material (Falta 'TOP', 'PALANCA DE FRENADO')</t>
  </si>
  <si>
    <t>Cambiar Abrazadera de Cabina</t>
  </si>
  <si>
    <t>2) Desconexión de material (Falta 'CADENA', 'EXTREMO')</t>
  </si>
  <si>
    <t>HRJ004</t>
  </si>
  <si>
    <t>Cambiar bisagra furgon termico</t>
  </si>
  <si>
    <t>2) Desconexión de material (Falta 'BISAGRA')</t>
  </si>
  <si>
    <t>Materiales cargados no coinciden: TORNILLO AUTOPERFORANTE 4.5x50</t>
  </si>
  <si>
    <t>AG095MQ</t>
  </si>
  <si>
    <t>Colocar Vidrio de Espejo Inferior Izquierdo</t>
  </si>
  <si>
    <t>Materiales planificados con Salida Cero: FILTRO DE AIRE MB 2426/AXOR 1933 - MANN C28 1012</t>
  </si>
  <si>
    <t>Materiales planificados con Salida Cero: FILTRO DE AIRE SCANIA G310 - MANN C 31 017</t>
  </si>
  <si>
    <t>Elasticos del Ultimo Eje Sacar y Colocar Lado Der</t>
  </si>
  <si>
    <t>Desarmado Y Armado Rueda TII Ajusto Válvula y Cambio Ovulo</t>
  </si>
  <si>
    <t>2) Desconexión de material (Falta 'VALVULA', 'RUEDA', 'EXTREMO')</t>
  </si>
  <si>
    <t>Materiales cargados no coinciden: ALARGUES DE PLASTICO X 150mm, SENSOR DE REVOLUCIONES DE TACOGRAFO MB 2036 (A 015 542 24 17) - ORIGINAL</t>
  </si>
  <si>
    <t>Cambiar Cubierta 3DE</t>
  </si>
  <si>
    <t>Cambiar Rodillo Fijo de Maza 1 Eje Der</t>
  </si>
  <si>
    <t>Materiales cargados no coinciden: BOMBIN TRAMPA DE AGUA MB 1933/1725/1624 (A 958 470 03 90) - ALTERNATIVO, TAPA DE FILTRO TRAMPA AGUA SCANIA G310 - WIX (WF10136), FILTRO DE COMBUSTIBLE - MANN PU1046/1X</t>
  </si>
  <si>
    <t>2) Desconexión de material (Falta 'PATENTE')</t>
  </si>
  <si>
    <t>Materiales cargados no coinciden: DEPOSITO DE EXPANSION DE AGUA SCANIA G310 (2401668) - RESERPLASTIC (000150), FILTRO DE CABINA - MANN CU37001, ESCOBILLA LIMPIA PARABRISAS 24" - BOSCH (B172), LIQUIDO REFRIGERANTE KRIOX INORGANICO X 1000LTS, PRECINTOS GRETEL 400X4,8MM X 100 UNI</t>
  </si>
  <si>
    <t>Colocar Tornillos Cortados de Base Aire Acondicionado</t>
  </si>
  <si>
    <t>AF737MP</t>
  </si>
  <si>
    <t>Cambiar Faro de Estribos</t>
  </si>
  <si>
    <t>Materiales cargados no coinciden: TECLA DE BALIZA MB 1215 (A 688 545 71 24/A 990 545 83 00) - GT (6885457124-1), FUSIBLE 10 AMP - GENROD</t>
  </si>
  <si>
    <t>KHS013</t>
  </si>
  <si>
    <t>Cambiar Caja Reguladora De Frenos 3 Eje Der</t>
  </si>
  <si>
    <t>Materiales cargados no coinciden: REPARACION DE MOTOR LIMPIA PARABRISAS (ART. REPARADO), CUBIERTA LINEAL 275 R22.5 - EVERGREEN, PRECINTOS 400X7,2MM X 100 UNI - BREMEN, INDICADOR DE TORQUE RUEDA/ CHECKPOINT DE 32 MM</t>
  </si>
  <si>
    <t>Cambiar Bajada De Vigia Completa</t>
  </si>
  <si>
    <t>Materiales cargados no coinciden: LAMPARA H7 24V - HELLA, ROTOR NPT 3/4" - CORTO (2361)</t>
  </si>
  <si>
    <t>GOX958</t>
  </si>
  <si>
    <t>Materiales cargados no coinciden: LAMPARA H1 24V  - NEOLUX, FARO DE GALIBO TECHO SUPERIOR IZQ MB 710 (A 688 820 72 56) - FITAM, TIRANTE DE SUJECION DE ESPEJO RETROVISOR MB 1624 (A 694 810 00 37) ORIGINAL, FUSIBLE 10 AMP - GENROD, FUSIBLE 15 AMP - GENROD, ACEITE 15W40 XV300 X 205LT (TAMBOR), LAMPARA 24V 5W (C/CULOTE)</t>
  </si>
  <si>
    <t>Materiales planificados con Salida Cero: FARO TRASERO DER (C/VENTANA) MB AXOR 1933 (A 001 540 63 70) ORIGINAL, CAÑO FLEXIBLE DE CALEFACCION MB AXOR 1933 (A 940 500 04 75) ORIGINAL, MANGUERA DE REFRIGERACION DE DEPOSITO DE EXPANSIÓN AL RADIADOR MB ATEGO 1729 (A 973 501 02 82), LAMPARA 24V 5W (C/CULOTE) - NEOLUX, LAMPARA 24V 5W (C/CULOTE) - HELLA, ABRAZADERA (9MM) 23-35MM x UN</t>
  </si>
  <si>
    <t>Cambiar Manguera de Eje Neumatico de Tristop Der</t>
  </si>
  <si>
    <t>2) Desconexión de material (Falta 'MANGUERA', 'TOP')</t>
  </si>
  <si>
    <t>Cambiar Bulobo De Presion De Aire</t>
  </si>
  <si>
    <t>2) Desconexión de material (Falta 'BULBO', 'EXTREMO')</t>
  </si>
  <si>
    <t>Materiales cargados no coinciden: SENSOR DE VALVULA 6 VIAS (PRESION DE CIRCUITO DE CAJA) MB 2035 (A 979 542 03 18) - KNORR (K040307-60, LAMPARA 24V 5W (C/CULOTE) - NEOLUX</t>
  </si>
  <si>
    <t>HSC655</t>
  </si>
  <si>
    <t>Cambiar Termostato Con Orring Incluido</t>
  </si>
  <si>
    <t>Materiales planificados con Salida Cero: FUSIBLE 30 AMP, LIQUIDO REFRIGERANTE 50/50 X 1000LTS, TERMOSTATO MB 1620 (A 004 203 83 75) - VERNET (TH1513.83), HIDRO ATF B 20 (125480)</t>
  </si>
  <si>
    <t>BNW644</t>
  </si>
  <si>
    <t>Materiales planificados con Salida Cero: FILTRO DE ACEITE - MANN H932/4X, ACEITE 15W40 XV300 X 205LT (TAMBOR)</t>
  </si>
  <si>
    <t>JIL501</t>
  </si>
  <si>
    <t>2) Desconexión de material (Falta 'LAMPARA', 'LUZ')</t>
  </si>
  <si>
    <t>Materiales cargados no coinciden: TORNILLO PUNTA DE MECHA (3/8 -14X1") X UN</t>
  </si>
  <si>
    <t>Cambiar Taco De Carroceria</t>
  </si>
  <si>
    <t>Materiales planificados con Salida Cero: ARANDELA PLANA ACERO ZINCADO 1/4", TUERCA AUTOFRENANTE HEXAGONAL ACERO ZINCADO 1/4" - PASO 1,5MM, LIQUIDO REFRIGERANTE 50/50 X 1000LTS, BULON HEXAGONAL ACERO ZINCADO 1/4" X 40MM - PASO 1,5MM, LAMPARA H7 24V  - NEOLUX, DEPOSITO DE AGUA MB 1720 - RESERPLASTIC (000128)</t>
  </si>
  <si>
    <t>Cambio Filtro Urea</t>
  </si>
  <si>
    <t>Materiales cargados no coinciden: FILTRO DE COMBUSTIBLE - MANN PU999/1X, FILTRO TRAMPA DE AGUA - WIX (WF 10288)</t>
  </si>
  <si>
    <t>KMM904</t>
  </si>
  <si>
    <t>Materiales cargados no coinciden: LLAVE 1 PUNTO T/M. BENZ, DESTELLADOR 24V 4T, TIRANTE DE SUJECION DE ESPEJO RETROVISOR MB 1624 (A 694 810 00 37) ORIGINAL, AMORTIGUADOR LEVANTA CAPOT MB 2541 (A 009 988 15 01) ORIGINAL, LAMPARA 24V 5W (S/CULOTE) - NEOLUX, TORNILLO PUNTA DE MECHA (3/8 -14X1") X UN, INDICADOR DE TORQUE RUEDA/ CHECKPOINT DE 32 MM</t>
  </si>
  <si>
    <t>Materiales planificados con Salida Cero: TECLA DE LUZ 8 PATAS C/REOSTATO MB 1620 (A 695 545 88 14) - KOSTAL (3040100)</t>
  </si>
  <si>
    <t>Colocar Precintos</t>
  </si>
  <si>
    <t>Cambiar Tacho De Liquido Refrigente</t>
  </si>
  <si>
    <t>2) Desconexión de material (Falta 'REFRIGERANTE', 'TACO', 'EXTREMO')</t>
  </si>
  <si>
    <t>2) Desconexión de material (Falta 'PATENTE', 'CHAPA')</t>
  </si>
  <si>
    <t>OJG060</t>
  </si>
  <si>
    <t>JJH871</t>
  </si>
  <si>
    <t>NIE152</t>
  </si>
  <si>
    <t>Cambiar Espejo Lado Der</t>
  </si>
  <si>
    <t>Materiales planificados con Salida Cero: ESPEJO DERECHO - (SP 1602)</t>
  </si>
  <si>
    <t>Materiales planificados con Salida Cero: BARRA TENSORA "V" MB AXOR 1933/2541 (A 942 350 15 05) - IABV (3588), CRISTAL DE ESPEJO IZQ MB 1218/1318  (A 688 725 71 10) - ORIGINAL</t>
  </si>
  <si>
    <t>Cambiar Cruceta de Cardan</t>
  </si>
  <si>
    <t>2) Desconexión de material (Falta 'CRUCETA', 'PUENTE DE CARDAN')</t>
  </si>
  <si>
    <t>Extracción y Colocación Manguera Agua 1/2 Uso</t>
  </si>
  <si>
    <t>Cambio Faro Doble Completo Lado Der</t>
  </si>
  <si>
    <t>Sacar Carroceria Para Colocar a Otra Patente</t>
  </si>
  <si>
    <t>GVU096</t>
  </si>
  <si>
    <t>AF642OU</t>
  </si>
  <si>
    <t>Materiales cargados no coinciden: RELAY INVERSOR 5 PATAS 24V 10/20AMP - DZE, MICA FARO TRASERO MB 2541 (A 002 544 73 90) - FITAM, LAMPARA 24V 5W (C/CULOTE) - NEOLUX, PRECINTOS GRETEL 400X4,8MM X 100 UNI</t>
  </si>
  <si>
    <t>NWV170</t>
  </si>
  <si>
    <t>Cambiar Piton De Centro de Sobre Elastico</t>
  </si>
  <si>
    <t>2) Desconexión de material (Falta 'PITON')</t>
  </si>
  <si>
    <t>Colocar Pata y Soporte de Motor</t>
  </si>
  <si>
    <t>Cambiar Bocina Nueva</t>
  </si>
  <si>
    <t>2) Desconexión de material (Falta 'BOCINA')</t>
  </si>
  <si>
    <t>Materiales cargados no coinciden: MICA BAIML 1300 SEMIRREMOLQUE</t>
  </si>
  <si>
    <t>Materiales cargados no coinciden: CUBRE VOLANTE CAMION MB (DIAMETRO 42CM) - VEXO, PORTA LAMPARA 24V 5W S/CULOTE (SIN CABLES) - ORO</t>
  </si>
  <si>
    <t>Materiales cargados no coinciden: FILTRO DE COMBUSTIBLE SPRINTER 413 - MANN WK 842/13</t>
  </si>
  <si>
    <t>Materiales cargados no coinciden: MOTOR LIMPIA PARABRISAS MB 1318 24V (CON FICHA) (A 696 824 70 01) - TAMATEL (48008)</t>
  </si>
  <si>
    <t>Materiales cargados no coinciden: LAMPARA 24V 21/5W</t>
  </si>
  <si>
    <t>Cambiar servo de embrague manual</t>
  </si>
  <si>
    <t>AF518DM</t>
  </si>
  <si>
    <t>AF118QC</t>
  </si>
  <si>
    <t>Cambiar junta tapa valvula</t>
  </si>
  <si>
    <t>2) Desconexión de material (Falta 'JUNTA', 'VALVULA')</t>
  </si>
  <si>
    <t>Materiales cargados no coinciden: DEPOSITO DE AGUA MB ATEGO (A 970 500 04 49) - RESERPLASTIC (000899), ARANDELA ALUMINIO 14MM, ACEITE 15W40 XV300 X 205LT (TAMBOR), LIQUIDO REFRIGERANTE 50/50 X 1000LTS</t>
  </si>
  <si>
    <t>Cambiar faro trasero derecho</t>
  </si>
  <si>
    <t>AD426IH</t>
  </si>
  <si>
    <t>Materiales cargados no coinciden: KIT REPARACION COMPRESOR BICILINDRICO MB 2541 - WABCO (0021304015), FARO LED BAIML 1035 COLOR ROJO, CUBRE VOLANTE AXOR 1933 (450MM) - AIEL, TOBERA DER DE DEPOSITO DE SAPITO MB 2541  (A 000 860 33 47) - ORIGINAL, TOBERA IZQ DE DEPOSITO DE SAPITO MB 2541  (A 000 860 32 47) - ORIGINAL, TERMOSTATO MB 1620 - MAHLE, LIQUIDO REFRIGERANTE KRIOX INORGANICO X 1000LTS</t>
  </si>
  <si>
    <t>Materiales planificados con Salida Cero: FILTRO DE COMBUSTIBLE MB 710 (A 352 470 00 92) - MANN P 707/6</t>
  </si>
  <si>
    <t>FQT894</t>
  </si>
  <si>
    <t>Cambiar Mini Relay 12V a Pare Motor</t>
  </si>
  <si>
    <t>Materiales cargados no coinciden: TEMPORIZADOR RELE DE 12V MB 1620 (A 384 545 01 05) - ORIGINAL, CORREA 13X1400 - CONTINENTAL, CORREA 13X1000 - DAYCO</t>
  </si>
  <si>
    <t>Cambiar Líquido Refrigerante</t>
  </si>
  <si>
    <t>Colocar Embrague (Placa, Disco y Volante Reparado)</t>
  </si>
  <si>
    <t>2) Desconexión de material (Falta 'DISCO', 'CHAPA')</t>
  </si>
  <si>
    <t>Materiales cargados no coinciden: RETEN DE VOLANTE DE MOTOR MB AXOR 1933 (115x140x12) (A 025 997 50 47) - CORTECO (03245T), RODILLO DE HORQUILLA DE EMBRAGUE (CON BUJE) MB 1720/1933/1938/AXOR 2035 (A 000 254 00 17) - ALTERNAT, COJINETE DE DESEMBRAGUE MB 1215/1725 (A 002 250 65 15) ORIGINAL, RODAMIENTO DE PUNTA DE DIRECTA G-60/G-85/G-10 (A 906 981 16 25) 6205 - FAG, KIT DE EMBRAGUE MB 1418/1720/1624 (395MM) ORIGINAL (ART. REPARADO), ARANDELA BISELADA 10MM</t>
  </si>
  <si>
    <t>AG079GA</t>
  </si>
  <si>
    <t>Fabricacion y Colocacion De Protector De Equipo De Frio</t>
  </si>
  <si>
    <t>OJG062</t>
  </si>
  <si>
    <t>Reformar Espejo Retrovisor y Cambiar Vidrio</t>
  </si>
  <si>
    <t>Materiales cargados no coinciden: ESPEJO IZQ MB AXOR 1933 (A 002 810 16 16) - (SP 1601), TIRANTE DE SUJECION DE ESPEJO RETROVISOR MB 1624 (A 694 810 00 37) ORIGINAL</t>
  </si>
  <si>
    <t>Cambio De Faro Led Baiml 1035 Ambar De Pecho</t>
  </si>
  <si>
    <t>AG300AR</t>
  </si>
  <si>
    <t>Materiales planificados con Salida Cero: LAMPARA 24V 5W (C/CULOTE)</t>
  </si>
  <si>
    <t>Colocar Tornillo Pasante a Caño Compresor</t>
  </si>
  <si>
    <t>2) Desconexión de material (Falta 'COMPRESOR')</t>
  </si>
  <si>
    <t>Cambiar Medidor De Tanque De Combustible</t>
  </si>
  <si>
    <t>Cambio Faro Doble Completo Lado Izq</t>
  </si>
  <si>
    <t>Porta tensor Desprender del Eje, limpiar y Colocar Nuevo</t>
  </si>
  <si>
    <t>AUTOELEVADOR HELI</t>
  </si>
  <si>
    <t>H SERIE</t>
  </si>
  <si>
    <t>Cambiar cilindro de freno</t>
  </si>
  <si>
    <t>2) Desconexión de material (Falta 'PALANCA FRENO', 'CILINDRO', 'FUELLE')</t>
  </si>
  <si>
    <t>Materiales cargados no coinciden: THINNER X 18LT, BOMBA DE FRENO DOBLE (1" 1/4 - 31.75 MM SALIDA: 1 ROSCA: 14X1.5") PARA MB 710 C/FRENO COMBINADO  - C, ARANDELAS GROVER DE 8MM, ACEITE 15W40 XV300 X 205LT (TAMBOR)</t>
  </si>
  <si>
    <t>GYB034</t>
  </si>
  <si>
    <t>2) Desconexión de material (Falta 'FICHA', 'EXTREMO')</t>
  </si>
  <si>
    <t>Materiales cargados no coinciden: TERMINAL OJAL 4MM, CAÑO DE UNION BOMBA AGUA (OM366) MB 710 (A 990 203 07 00) ORIGINAL, BOMBA DE AGUA (OM364) MB 710 (A 364 200 00 01) - FULP 100, ARANDELAS PLANAS DE 8MM, LIQUIDO REFRIGERANTE 50/50 X 1000LTS, CAÑO POLIAMIDA TECALAN DE 8MM X MTS</t>
  </si>
  <si>
    <t>AF444TU</t>
  </si>
  <si>
    <t>Cambio 185/65 R 15 88H TANGO</t>
  </si>
  <si>
    <t>Cambiar deposito de agua motor G310 SCANIA</t>
  </si>
  <si>
    <t>2) Desconexión de material (Falta 'LEVANTAVENTANAS', 'DEPOSITO DE AGUA')</t>
  </si>
  <si>
    <t>AF338VO</t>
  </si>
  <si>
    <t>Cambiar Cubierta Eje Balancin BDI / BDE, Desarme y Arme</t>
  </si>
  <si>
    <t>Materiales cargados no coinciden: ALARGUES DE PLASTICO X 150mm, EXTREMO DE CAJA DE CAMBIO MECANICO (PARA ADAPTAR) - LORETO, LAMPARA H3 24V - NEOLUX, CUBIERTA TACO 275 R22.5 - FATE, ACEITE 15W40 XV300 X 205LT (TAMBOR)</t>
  </si>
  <si>
    <t>AF118QA</t>
  </si>
  <si>
    <t>Materiales cargados no coinciden: FUSIBLE 20 AMP</t>
  </si>
  <si>
    <t>AF804RA</t>
  </si>
  <si>
    <t>Cambiar Tapon De Carter</t>
  </si>
  <si>
    <t>Materiales cargados no coinciden: JUNTA DE TAPA DE VALVULAS MB 1318 (A 904 014 10 22) - RAH (904), TAPON DE CARTER 22MM MB 1634, ARANDELA ALUMINIO 24MM, ACEITE 15W40 XV300 X 205LT (TAMBOR)</t>
  </si>
  <si>
    <t>Cambiar Abrazadera</t>
  </si>
  <si>
    <t>Balancin Nuevos Colocar Bujes</t>
  </si>
  <si>
    <t>Cambiar Caja Reguladora De Frenos 1 Eje Der</t>
  </si>
  <si>
    <t>Materiales cargados no coinciden: INDICADOR DE TORQUE RUEDA/ CHECKPOINT DE 32 MM, AZUL 32 UREA x 1000LTS, COMANDO ALZA CRISTALES MB AXOR (A 005 545 39 13) ORIGINAL, LAMPARA 24V 21W - HELLA</t>
  </si>
  <si>
    <t>Armado Y Desarmado + Cambio Cubiertas Neumatico 2IE/2II/2DE/2DI. Recapada</t>
  </si>
  <si>
    <t>AF746ED</t>
  </si>
  <si>
    <t>Cambiar Vejiga De Pisada  LD</t>
  </si>
  <si>
    <t>Cambiar Soporte De Alternador</t>
  </si>
  <si>
    <t>2) Desconexión de material (Falta 'ALTERNADOR')</t>
  </si>
  <si>
    <t>Materiales cargados no coinciden: MANIJA DE PUERTA INTERNA IZQ - MAYREA (56572L), MARCO FARO DER MB 1620 (A 694 884 72 74) ORIGINAL, LAMPARA H1 12V, TORNILLO PUNTA DE MECHA (3/8 -14X1") X UN, PARCHE 110 TG (10 U) X CAJA, SOPORTE DE MOTOR MB 1620 (A 366 150 06 73) ORIGINAL, TACO DE PARAGOLPE 270x75x75 PARA REMOLQUES - NUGOM, CARRITO DE LONA DOBLE CORREDERA UNIVERSAL (32MM), PRECINTOS DUROLL 400X4,8MM X 100 UNI, TORNILLO PUNTA DE MECHA (3/8 -14X1") X UN</t>
  </si>
  <si>
    <t>TLH736</t>
  </si>
  <si>
    <t>Cambiar Cable Freno De Mano</t>
  </si>
  <si>
    <t>GUW657</t>
  </si>
  <si>
    <t>2) Desconexión de material (Falta 'FILTRO', 'EXTREMO')</t>
  </si>
  <si>
    <t>Materiales cargados no coinciden: REPARACION DE COMPRESOR DE AIRE  TAPA CORTA(ART. REPARADO), JUNTA TAPA DE CILINDROS MB 2426 (A 926 016 12 20) - MAHLE (JC48780/6), REPARACION DE VALVULA DE SECADO (ART. REPARADO), HIDRO ATF B 20 (125480), DESENGRASANTE TRANSNET C SUPER 26K (9503), REPARACION DE VALVULA PEDALERA MB 1933/1725 (ART. REPARADO), LIJA AL AGUA 230x280 GR120, LIJA AL AGUA 230x280 GR200</t>
  </si>
  <si>
    <t>Colocar Tanque de Gas Oil</t>
  </si>
  <si>
    <t>IDX163</t>
  </si>
  <si>
    <t>Cambiar Inyector N° 5</t>
  </si>
  <si>
    <t>Materiales cargados no coinciden: CAÑO INYECTOR (OM 904-906) (A 906 070 24 33) ORIGINAL</t>
  </si>
  <si>
    <t>Colocar Tornillo a Babero Izq</t>
  </si>
  <si>
    <t>Cambiar Cubierta BDI - 1/2 Uso Armado Y Desarmado</t>
  </si>
  <si>
    <t>Colocar perno de tensores de ejes</t>
  </si>
  <si>
    <t>Colocación 1 Engranaje Cigüeñal MB 366</t>
  </si>
  <si>
    <t>Cambio Pos. Flex De Freno Delantero LI</t>
  </si>
  <si>
    <t>Materiales cargados no coinciden: LAMPARA 24V 5W (C/CULOTE) - HELLA, TORNILLO PUNTA DE MECHA (3/8 -14X1") X UN, ARANDELA CHAPISTA 6MM, AZUL 32 UREA x 1000LTS, FARO BAJA DER MB ATRON/ATEGO (A 002 810 80 16) - VIC (916D)</t>
  </si>
  <si>
    <t>OHH588</t>
  </si>
  <si>
    <t>Colocaron Tacos de Goma a Chapon de Piso de Enganche</t>
  </si>
  <si>
    <t>Materiales cargados no coinciden: ARANDELA DE ALUMINIO 16MM, ABRAZADERA (9MM) 8-16MM x UN, SILENCIADOR CAÑO DE ESCAPE GRANDE LARGO: 30,1MM D:14MM - REI, ACEITE 15W40 XV300 X 205LT (TAMBOR), PRECINTOS 400X7,2MM X 100 UNI - BREMEN, TUERCA DE 10MM PASO 1,5 (DUREZA 8,8), PRECINTOS DUROLL 400X4,8MM X 100 UNI</t>
  </si>
  <si>
    <t>AF542LX</t>
  </si>
  <si>
    <t>Materiales cargados no coinciden: FILTRO DE ACEITE KANGOO 1.5 - MANN W 75/3, ACEITE 5W 30 YPF X 20LTS</t>
  </si>
  <si>
    <t>Colocación Grafica De Senasa X 3 (6433)</t>
  </si>
  <si>
    <t>2) Desconexión de material (Falta 'GRAFICA')</t>
  </si>
  <si>
    <t>Materiales cargados no coinciden: MEMBRANA GEOTEXTIL MEGAFLEX TRANSITABLE GEOTRANS x 40KG, CUBIERTA TACO 295 R22.5 - FATE, TORNILLO PUNTA DE MECHA (3/8 -14X1") X UN</t>
  </si>
  <si>
    <t>AF156NJ</t>
  </si>
  <si>
    <t>Cambio De Aceite De Motor Y Filtro Aceite Utilitarios</t>
  </si>
  <si>
    <t>Materiales cargados no coinciden: FILTRO DE ACEITE SPRINTER 316/416 CDI - MANN HU718/1K, ACEITE 5W 40 YPF X 20LTS</t>
  </si>
  <si>
    <t>Materiales cargados no coinciden: FILTRO DE ACEITE MB 1634 LS - MANN FILTER H1275X, ACEITE 15W40 XV300 X 205LT (TAMBOR)</t>
  </si>
  <si>
    <t>OHH593</t>
  </si>
  <si>
    <t>AF444TV</t>
  </si>
  <si>
    <t>Materiales cargados no coinciden: FARO LED BAIML 1035 COLOR AMBAR, BATERIA 12V 100 - WILLARD, TUERCA HEXAGONAL M9 PASO 1 - ACERO - ZINCADO/GALVANIZADO, AZUL 32 UREA x 1000LTS</t>
  </si>
  <si>
    <t>Colocar Centro de de Paragolpes Inf</t>
  </si>
  <si>
    <t>Materiales cargados no coinciden: ESCOBILLA LIMPIA PARABRISAS 26" (650MM) - BOSCH (B162), FUSIBLE 10 AMP - GENROD, LAMPARA 24V 5W (C/CULOTE) - NEOLUX, PRECINTOS GRETEL 400X4,8MM X 100 UNI, PRECINTOS GRETEL 400X4,8MM X 100 UNI, TORNILLO PUNTA DE MECHA 8 x 3/4, BULON HEXAGONAL 1/4" X20MM X UN, TUERCA 1/4, AZUL 32 UREA x 1000LTS, ARANDELAS PLANAS DE 8MM, TORNILLO FIX 4.5 X 25</t>
  </si>
  <si>
    <t>Colocar Spoiler de Paragolpes Inf</t>
  </si>
  <si>
    <t>GPL520</t>
  </si>
  <si>
    <t>Cambio de Capacitores, Plaqueta Princi. de Tablero.</t>
  </si>
  <si>
    <t>Materiales cargados no coinciden: CORREA 8PK 1650 - DAYCO, REPARACION DE ALTERNADOR 24V (Art. Reparado)</t>
  </si>
  <si>
    <t>GTE289</t>
  </si>
  <si>
    <t>Materiales cargados no coinciden: FARO TRASERO COMPLETO DER MB 710 (A 688 544 76 03) - FITAM, TERMINAL PALA MACHO 6.3MM, DESTELLADOR 24V 4T - RALUX, MICA TRASERA MB TRICOLOR 1215/710 (A 002 544 40 90) - FITAM (68029), LAMPARA 24V 5W (C/CULOTE) - NEOLUX, PORTA LAMPARA PARA FARO COLGANTE DOBLE/SIMPLE 1035/6 (AMBAR/AMBAR) CON CABLE, RODAMIENTO PUENTE CARDAN 50MM - TIMKEN (HB88510), LAMPARA 24V 21W - HELLA</t>
  </si>
  <si>
    <t>Cambio Tecla De Baliza</t>
  </si>
  <si>
    <t>Pintar paragolpe y colocar cinta reflectivas</t>
  </si>
  <si>
    <t>Materiales cargados no coinciden: SOPORTE DE ESPEJO MB 1624/1620/1348 - BEPO (M044O), ESPEJO LUPA - (SP 1608)</t>
  </si>
  <si>
    <t>Materiales cargados no coinciden: FUSIBLE 10 AMP - GENROD, MOTOR LIMPIA PARABRISAS MB 1318 24V (CON FICHA) (A 696 824 70 01) - ORIGINAL</t>
  </si>
  <si>
    <t>AF114FN</t>
  </si>
  <si>
    <t>Materiales cargados no coinciden: LAMPARA 24V 5W (S/CULOTE) - NEOLUX</t>
  </si>
  <si>
    <t>OJG076</t>
  </si>
  <si>
    <t>2) Desconexión de material (Falta 'LONA')</t>
  </si>
  <si>
    <t>Materiales cargados no coinciden: TACO DE PARAGOLPE 190x80x70 PARA REMOLQUES - NUGOM</t>
  </si>
  <si>
    <t>OAF635</t>
  </si>
  <si>
    <t>Cambiar rueda completa remolque en taller</t>
  </si>
  <si>
    <t>Materiales planificados con Salida Cero: RECAPADO NEUMATICO 295</t>
  </si>
  <si>
    <t>Materiales cargados no coinciden: ACOPLE RAPIDO RECTO DE 10MM, ACOPLE RAPIDO RECTO DE 1/2", FARO DELANTERO DER SCANIA G310 - FA801812 - NINO, VOLANTE DE EMBRAGUE SCANIA G310 (1776466) - CINPAL, KIT DE EMBRAGUE SCANIA G310 SACHS (3400 000 255 009)</t>
  </si>
  <si>
    <t>Descarga</t>
  </si>
  <si>
    <t>Estados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</si>
</sst>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FFFFFF"/>
      <name val="Arial"/>
    </font>
    <font>
      <b/>
      <sz val="11"/>
      <color rgb="FFFFFFFF"/>
      <name val="Arial"/>
      <family val="2"/>
    </font>
  </fonts>
  <fills count="7">
    <fill>
      <patternFill patternType="none"/>
    </fill>
    <fill>
      <patternFill patternType="gray125"/>
    </fill>
    <fill>
      <patternFill patternType="solid">
        <fgColor rgb="FF1F497D"/>
      </patternFill>
    </fill>
    <fill>
      <patternFill patternType="solid">
        <fgColor rgb="FFF9FAFB"/>
      </patternFill>
    </fill>
    <fill>
      <patternFill patternType="solid">
        <fgColor rgb="FFFCE4D6"/>
      </patternFill>
    </fill>
    <fill>
      <patternFill patternType="solid">
        <fgColor rgb="FFFFF2CC"/>
      </patternFill>
    </fill>
    <fill>
      <patternFill patternType="solid">
        <fgColor rgb="FFE2EFD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left" vertical="center"/>
    </xf>
    <xf numFmtId="0" fontId="0" fillId="4" borderId="1" xfId="0" applyFill="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5" borderId="1" xfId="0" applyFill="1" applyBorder="1" applyAlignment="1">
      <alignment horizontal="left" vertical="center"/>
    </xf>
    <xf numFmtId="0" fontId="0" fillId="6" borderId="1" xfId="0" applyFill="1" applyBorder="1" applyAlignment="1">
      <alignment horizontal="left" vertical="center"/>
    </xf>
    <xf numFmtId="0" fontId="0" fillId="0" borderId="1" xfId="0" applyBorder="1"/>
    <xf numFmtId="0" fontId="0" fillId="3" borderId="0" xfId="0" applyFill="1" applyBorder="1" applyAlignment="1">
      <alignment horizontal="center" vertical="center"/>
    </xf>
    <xf numFmtId="0" fontId="0" fillId="0" borderId="0" xfId="0" applyBorder="1" applyAlignment="1">
      <alignment horizontal="center" vertical="center"/>
    </xf>
    <xf numFmtId="14" fontId="0" fillId="3" borderId="1" xfId="0" applyNumberFormat="1" applyFill="1" applyBorder="1" applyAlignment="1">
      <alignment horizontal="center" vertical="center"/>
    </xf>
    <xf numFmtId="14" fontId="0" fillId="0" borderId="1" xfId="0" applyNumberFormat="1" applyBorder="1" applyAlignment="1">
      <alignment horizontal="center" vertical="center"/>
    </xf>
    <xf numFmtId="0" fontId="2" fillId="2" borderId="1" xfId="0" applyFont="1" applyFill="1" applyBorder="1" applyAlignment="1">
      <alignment horizontal="center" vertical="center"/>
    </xf>
    <xf numFmtId="14" fontId="0" fillId="0" borderId="0" xfId="0" applyNumberFormat="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20unidad/Peajes%20FC/Control%20Dia%20a%20Dia%20Reporte%20Auditoria%20Materiales/Auditoria_Mantenimiento_Generado%20(13-0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s>
    <sheetDataSet>
      <sheetData sheetId="0">
        <row r="2">
          <cell r="A2">
            <v>36633</v>
          </cell>
          <cell r="B2" t="str">
            <v>Correctivo</v>
          </cell>
          <cell r="C2" t="str">
            <v>CIUD</v>
          </cell>
          <cell r="D2" t="str">
            <v>No</v>
          </cell>
          <cell r="E2" t="str">
            <v>O</v>
          </cell>
          <cell r="F2">
            <v>46204</v>
          </cell>
          <cell r="G2" t="str">
            <v>AD426HY</v>
          </cell>
          <cell r="H2" t="str">
            <v>AXOR 2541</v>
          </cell>
          <cell r="I2" t="str">
            <v>Cambiar Cubierta Eje Balancin BII, Desarme y Arme</v>
          </cell>
          <cell r="J2" t="str">
            <v>OK</v>
          </cell>
        </row>
        <row r="3">
          <cell r="A3">
            <v>36633</v>
          </cell>
          <cell r="B3" t="str">
            <v>Correctivo</v>
          </cell>
          <cell r="C3" t="str">
            <v>CIUD</v>
          </cell>
          <cell r="D3" t="str">
            <v>No</v>
          </cell>
          <cell r="E3" t="str">
            <v>O</v>
          </cell>
          <cell r="F3">
            <v>46204</v>
          </cell>
          <cell r="G3" t="str">
            <v>AD426HY</v>
          </cell>
          <cell r="H3" t="str">
            <v>AXOR 2541</v>
          </cell>
          <cell r="I3" t="str">
            <v>Cambiar Cubierta Eje Balancin BDE, Desarme y Arme</v>
          </cell>
          <cell r="J3" t="str">
            <v>OK</v>
          </cell>
        </row>
        <row r="4">
          <cell r="A4">
            <v>36633</v>
          </cell>
          <cell r="B4" t="str">
            <v>Correctivo</v>
          </cell>
          <cell r="C4" t="str">
            <v>CIUD</v>
          </cell>
          <cell r="D4" t="str">
            <v>No</v>
          </cell>
          <cell r="E4" t="str">
            <v>O</v>
          </cell>
          <cell r="F4">
            <v>46204</v>
          </cell>
          <cell r="G4" t="str">
            <v>AD426HY</v>
          </cell>
          <cell r="H4" t="str">
            <v>AXOR 2541</v>
          </cell>
          <cell r="I4" t="str">
            <v>Cambiar Cubierta Eje Balancin BIE, Desarme y Arme</v>
          </cell>
          <cell r="J4" t="str">
            <v>OK</v>
          </cell>
        </row>
        <row r="5">
          <cell r="A5">
            <v>36633</v>
          </cell>
          <cell r="B5" t="str">
            <v>Correctivo</v>
          </cell>
          <cell r="C5" t="str">
            <v>CIUD</v>
          </cell>
          <cell r="D5" t="str">
            <v>No</v>
          </cell>
          <cell r="E5" t="str">
            <v>O</v>
          </cell>
          <cell r="F5">
            <v>46204</v>
          </cell>
          <cell r="G5" t="str">
            <v>AD426HY</v>
          </cell>
          <cell r="H5" t="str">
            <v>AXOR 2541</v>
          </cell>
          <cell r="I5" t="str">
            <v>Cambiar Cubierta Eje Balancin BDI, Desarme y Arme</v>
          </cell>
          <cell r="J5" t="str">
            <v>OK</v>
          </cell>
        </row>
        <row r="6">
          <cell r="A6">
            <v>36635</v>
          </cell>
          <cell r="B6" t="str">
            <v>Correctivo</v>
          </cell>
          <cell r="C6" t="str">
            <v>CIUD</v>
          </cell>
          <cell r="D6" t="str">
            <v>No</v>
          </cell>
          <cell r="E6" t="str">
            <v>O</v>
          </cell>
          <cell r="F6">
            <v>46204</v>
          </cell>
          <cell r="G6" t="str">
            <v>AF461DC</v>
          </cell>
          <cell r="H6" t="str">
            <v>PALETERO S.PA.3E.71 2+1</v>
          </cell>
          <cell r="I6" t="str">
            <v>Cambiar Cinta Frenos 2Eje Lado Izq</v>
          </cell>
          <cell r="J6" t="str">
            <v>OK</v>
          </cell>
        </row>
        <row r="7">
          <cell r="A7">
            <v>36635</v>
          </cell>
          <cell r="B7" t="str">
            <v>Correctivo</v>
          </cell>
          <cell r="C7" t="str">
            <v>CIUD</v>
          </cell>
          <cell r="D7" t="str">
            <v>No</v>
          </cell>
          <cell r="E7" t="str">
            <v>O</v>
          </cell>
          <cell r="F7">
            <v>46204</v>
          </cell>
          <cell r="G7" t="str">
            <v>AF461DC</v>
          </cell>
          <cell r="H7" t="str">
            <v>PALETERO S.PA.3E.71 2+1</v>
          </cell>
          <cell r="I7" t="str">
            <v>Cambiar Cinta Frenos 3Eje Lado Der</v>
          </cell>
          <cell r="J7" t="str">
            <v>OK</v>
          </cell>
        </row>
        <row r="8">
          <cell r="A8">
            <v>36635</v>
          </cell>
          <cell r="B8" t="str">
            <v>Correctivo</v>
          </cell>
          <cell r="C8" t="str">
            <v>CIUD</v>
          </cell>
          <cell r="D8" t="str">
            <v>No</v>
          </cell>
          <cell r="E8" t="str">
            <v>O</v>
          </cell>
          <cell r="F8">
            <v>46204</v>
          </cell>
          <cell r="G8" t="str">
            <v>AF461DC</v>
          </cell>
          <cell r="H8" t="str">
            <v>PALETERO S.PA.3E.71 2+1</v>
          </cell>
          <cell r="I8" t="str">
            <v>Cambiar Cinta Frenos 2Eje Lado Der</v>
          </cell>
          <cell r="J8" t="str">
            <v>OK</v>
          </cell>
        </row>
        <row r="9">
          <cell r="A9">
            <v>36635</v>
          </cell>
          <cell r="B9" t="str">
            <v>Correctivo</v>
          </cell>
          <cell r="C9" t="str">
            <v>CIUD</v>
          </cell>
          <cell r="D9" t="str">
            <v>No</v>
          </cell>
          <cell r="E9" t="str">
            <v>O</v>
          </cell>
          <cell r="F9">
            <v>46204</v>
          </cell>
          <cell r="G9" t="str">
            <v>AF461DC</v>
          </cell>
          <cell r="H9" t="str">
            <v>PALETERO S.PA.3E.71 2+1</v>
          </cell>
          <cell r="I9" t="str">
            <v>Cambiar Cinta Frenos 3Eje Lado Izq</v>
          </cell>
          <cell r="J9" t="str">
            <v>OK</v>
          </cell>
        </row>
        <row r="10">
          <cell r="A10">
            <v>36643</v>
          </cell>
          <cell r="B10" t="str">
            <v>Correctivo</v>
          </cell>
          <cell r="C10" t="str">
            <v>CIUD</v>
          </cell>
          <cell r="D10" t="str">
            <v>No</v>
          </cell>
          <cell r="E10" t="str">
            <v>O</v>
          </cell>
          <cell r="F10">
            <v>46204</v>
          </cell>
          <cell r="G10" t="str">
            <v>GVU097</v>
          </cell>
          <cell r="H10">
            <v>1318</v>
          </cell>
          <cell r="I10" t="str">
            <v>Cambio Luz Alta H1</v>
          </cell>
          <cell r="J10" t="str">
            <v>OK</v>
          </cell>
        </row>
        <row r="11">
          <cell r="A11">
            <v>36643</v>
          </cell>
          <cell r="B11" t="str">
            <v>Correctivo</v>
          </cell>
          <cell r="C11" t="str">
            <v>CIUD</v>
          </cell>
          <cell r="D11" t="str">
            <v>No</v>
          </cell>
          <cell r="E11" t="str">
            <v>O</v>
          </cell>
          <cell r="F11">
            <v>46204</v>
          </cell>
          <cell r="G11" t="str">
            <v>GVU097</v>
          </cell>
          <cell r="H11">
            <v>1318</v>
          </cell>
          <cell r="I11" t="str">
            <v>Cambiar Tapa De Combustible</v>
          </cell>
          <cell r="J11" t="str">
            <v>OK</v>
          </cell>
        </row>
        <row r="12">
          <cell r="A12">
            <v>36653</v>
          </cell>
          <cell r="B12" t="str">
            <v>Correctivo</v>
          </cell>
          <cell r="C12" t="str">
            <v>CIUD</v>
          </cell>
          <cell r="D12" t="str">
            <v>No</v>
          </cell>
          <cell r="E12" t="str">
            <v>O</v>
          </cell>
          <cell r="F12">
            <v>46204</v>
          </cell>
          <cell r="G12" t="str">
            <v>AF066NT</v>
          </cell>
          <cell r="H12" t="str">
            <v>TECTOR EVO 170E28</v>
          </cell>
          <cell r="I12" t="str">
            <v>Cambio Mica</v>
          </cell>
          <cell r="J12" t="str">
            <v>OK</v>
          </cell>
        </row>
        <row r="13">
          <cell r="A13">
            <v>36657</v>
          </cell>
          <cell r="B13" t="str">
            <v>Correctivo</v>
          </cell>
          <cell r="C13" t="str">
            <v>CIUD</v>
          </cell>
          <cell r="D13" t="str">
            <v>No</v>
          </cell>
          <cell r="E13" t="str">
            <v>O</v>
          </cell>
          <cell r="F13">
            <v>46205</v>
          </cell>
          <cell r="G13" t="str">
            <v>JXJ303</v>
          </cell>
          <cell r="H13" t="str">
            <v>ATEGO 1418</v>
          </cell>
          <cell r="I13" t="str">
            <v>Cambiar Bulbo Sensor De Neutro</v>
          </cell>
          <cell r="J13" t="str">
            <v>OK</v>
          </cell>
        </row>
        <row r="14">
          <cell r="A14">
            <v>36657</v>
          </cell>
          <cell r="B14" t="str">
            <v>Correctivo</v>
          </cell>
          <cell r="C14" t="str">
            <v>CIUD</v>
          </cell>
          <cell r="D14" t="str">
            <v>No</v>
          </cell>
          <cell r="E14" t="str">
            <v>O</v>
          </cell>
          <cell r="F14">
            <v>46205</v>
          </cell>
          <cell r="G14" t="str">
            <v>JXJ303</v>
          </cell>
          <cell r="H14" t="str">
            <v>ATEGO 1418</v>
          </cell>
          <cell r="I14" t="str">
            <v>Cambiar Bulbo Sensor De Neutro</v>
          </cell>
          <cell r="J14" t="str">
            <v>OK</v>
          </cell>
        </row>
        <row r="15">
          <cell r="A15">
            <v>36661</v>
          </cell>
          <cell r="B15" t="str">
            <v>Correctivo</v>
          </cell>
          <cell r="C15" t="str">
            <v>CIUD</v>
          </cell>
          <cell r="D15" t="str">
            <v>No</v>
          </cell>
          <cell r="E15" t="str">
            <v>O</v>
          </cell>
          <cell r="F15">
            <v>46205</v>
          </cell>
          <cell r="G15" t="str">
            <v>OJG072</v>
          </cell>
          <cell r="H15" t="str">
            <v>32-CORT. LAT. 3 EJES-1</v>
          </cell>
          <cell r="I15" t="str">
            <v>Cambiar Rodillo Patin Freno</v>
          </cell>
          <cell r="J15" t="str">
            <v>FALTA MATERIAL</v>
          </cell>
        </row>
        <row r="16">
          <cell r="A16">
            <v>36664</v>
          </cell>
          <cell r="B16" t="str">
            <v>Correctivo</v>
          </cell>
          <cell r="C16" t="str">
            <v>CIUD</v>
          </cell>
          <cell r="D16" t="str">
            <v>No</v>
          </cell>
          <cell r="E16" t="str">
            <v>O</v>
          </cell>
          <cell r="F16">
            <v>46205</v>
          </cell>
          <cell r="G16" t="str">
            <v>KER727</v>
          </cell>
          <cell r="H16" t="str">
            <v>ATEGO 1418</v>
          </cell>
          <cell r="I16" t="str">
            <v>Cambiar Lámpara Reglamentarias</v>
          </cell>
          <cell r="J16" t="str">
            <v>FALTA MATERIAL</v>
          </cell>
        </row>
        <row r="17">
          <cell r="A17">
            <v>36666</v>
          </cell>
          <cell r="B17" t="str">
            <v>Correctivo</v>
          </cell>
          <cell r="C17" t="str">
            <v>CIUD</v>
          </cell>
          <cell r="D17" t="str">
            <v>No</v>
          </cell>
          <cell r="E17" t="str">
            <v>O</v>
          </cell>
          <cell r="F17">
            <v>46205</v>
          </cell>
          <cell r="G17" t="str">
            <v>OAF644</v>
          </cell>
          <cell r="H17" t="str">
            <v>G310</v>
          </cell>
          <cell r="I17" t="str">
            <v>Colocar Embrague (Placa, Disco y Volante Reparado)</v>
          </cell>
          <cell r="J17" t="str">
            <v>FALTA MATERIAL</v>
          </cell>
        </row>
        <row r="18">
          <cell r="A18">
            <v>36668</v>
          </cell>
          <cell r="B18" t="str">
            <v>Correctivo</v>
          </cell>
          <cell r="C18" t="str">
            <v>CIUD</v>
          </cell>
          <cell r="D18" t="str">
            <v>No</v>
          </cell>
          <cell r="E18" t="str">
            <v>O</v>
          </cell>
          <cell r="F18">
            <v>46205</v>
          </cell>
          <cell r="G18" t="str">
            <v>JYQ969</v>
          </cell>
          <cell r="H18" t="str">
            <v>ATEGO 1418</v>
          </cell>
          <cell r="I18" t="str">
            <v>Cambiar Tapa De Combustible</v>
          </cell>
          <cell r="J18" t="str">
            <v>OK</v>
          </cell>
        </row>
        <row r="19">
          <cell r="A19">
            <v>36668</v>
          </cell>
          <cell r="B19" t="str">
            <v>Correctivo</v>
          </cell>
          <cell r="C19" t="str">
            <v>CIUD</v>
          </cell>
          <cell r="D19" t="str">
            <v>No</v>
          </cell>
          <cell r="E19" t="str">
            <v>O</v>
          </cell>
          <cell r="F19">
            <v>46205</v>
          </cell>
          <cell r="G19" t="str">
            <v>JYQ969</v>
          </cell>
          <cell r="H19" t="str">
            <v>ATEGO 1418</v>
          </cell>
          <cell r="I19" t="str">
            <v>Cambiar Tapa De Combustible</v>
          </cell>
          <cell r="J19" t="str">
            <v>OK</v>
          </cell>
        </row>
        <row r="20">
          <cell r="A20">
            <v>36673</v>
          </cell>
          <cell r="B20" t="str">
            <v>Correctivo</v>
          </cell>
          <cell r="C20" t="str">
            <v>CIUD</v>
          </cell>
          <cell r="D20" t="str">
            <v>No</v>
          </cell>
          <cell r="E20" t="str">
            <v>O</v>
          </cell>
          <cell r="F20">
            <v>46205</v>
          </cell>
          <cell r="G20" t="str">
            <v>KJH882</v>
          </cell>
          <cell r="H20" t="str">
            <v>AXOR 1933</v>
          </cell>
          <cell r="I20" t="str">
            <v>Cambiar lampara 3w 24v</v>
          </cell>
          <cell r="J20" t="str">
            <v>FALTA MATERIAL</v>
          </cell>
        </row>
        <row r="21">
          <cell r="A21">
            <v>36687</v>
          </cell>
          <cell r="B21" t="str">
            <v>Correctivo</v>
          </cell>
          <cell r="C21" t="str">
            <v>CIUD</v>
          </cell>
          <cell r="D21" t="str">
            <v>No</v>
          </cell>
          <cell r="E21" t="str">
            <v>O</v>
          </cell>
          <cell r="F21">
            <v>46205</v>
          </cell>
          <cell r="G21" t="str">
            <v>AG079GB</v>
          </cell>
          <cell r="H21" t="str">
            <v>TECTOR EVO 170E28</v>
          </cell>
          <cell r="I21" t="str">
            <v>Cambiar Vejiga Alfajor Eje Numatico</v>
          </cell>
          <cell r="J21" t="str">
            <v>OK</v>
          </cell>
        </row>
        <row r="22">
          <cell r="A22">
            <v>36693</v>
          </cell>
          <cell r="B22" t="str">
            <v>Correctivo</v>
          </cell>
          <cell r="C22" t="str">
            <v>CIUD</v>
          </cell>
          <cell r="D22" t="str">
            <v>No</v>
          </cell>
          <cell r="E22" t="str">
            <v>O</v>
          </cell>
          <cell r="F22">
            <v>46205</v>
          </cell>
          <cell r="G22" t="str">
            <v>OHH595</v>
          </cell>
          <cell r="H22" t="str">
            <v>ATRON 1720</v>
          </cell>
          <cell r="I22" t="str">
            <v>Cambiar Hebilla Cinturon De Seguridad Hembra Lado Chofer</v>
          </cell>
          <cell r="J22" t="str">
            <v>OK</v>
          </cell>
        </row>
        <row r="23">
          <cell r="A23">
            <v>36693</v>
          </cell>
          <cell r="B23" t="str">
            <v>Correctivo</v>
          </cell>
          <cell r="C23" t="str">
            <v>CIUD</v>
          </cell>
          <cell r="D23" t="str">
            <v>No</v>
          </cell>
          <cell r="E23" t="str">
            <v>O</v>
          </cell>
          <cell r="F23">
            <v>46205</v>
          </cell>
          <cell r="G23" t="str">
            <v>OHH595</v>
          </cell>
          <cell r="H23" t="str">
            <v>ATRON 1720</v>
          </cell>
          <cell r="I23" t="str">
            <v>Cambiar Palanca Freno C/Reforma</v>
          </cell>
          <cell r="J23" t="str">
            <v>OK</v>
          </cell>
        </row>
        <row r="24">
          <cell r="A24">
            <v>37003</v>
          </cell>
          <cell r="B24" t="str">
            <v>Correctivo</v>
          </cell>
          <cell r="C24" t="str">
            <v>BSAS</v>
          </cell>
          <cell r="D24" t="str">
            <v>No</v>
          </cell>
          <cell r="E24" t="str">
            <v>O</v>
          </cell>
          <cell r="F24">
            <v>46205</v>
          </cell>
          <cell r="G24" t="str">
            <v>OHH595</v>
          </cell>
          <cell r="H24" t="str">
            <v>ATRON 1720</v>
          </cell>
          <cell r="I24" t="str">
            <v>Cambiar ruedas</v>
          </cell>
          <cell r="J24" t="str">
            <v>FALTA MATERIAL</v>
          </cell>
        </row>
        <row r="25">
          <cell r="A25">
            <v>37011</v>
          </cell>
          <cell r="B25" t="str">
            <v>Correctivo</v>
          </cell>
          <cell r="C25" t="str">
            <v>BSAS</v>
          </cell>
          <cell r="D25" t="str">
            <v>No</v>
          </cell>
          <cell r="E25" t="str">
            <v>O</v>
          </cell>
          <cell r="F25">
            <v>46205</v>
          </cell>
          <cell r="G25" t="str">
            <v>FGV321</v>
          </cell>
          <cell r="H25">
            <v>1218</v>
          </cell>
          <cell r="I25" t="str">
            <v>Cambiar lamparas</v>
          </cell>
          <cell r="J25" t="str">
            <v>FALTA MATERIAL</v>
          </cell>
        </row>
        <row r="26">
          <cell r="A26">
            <v>36696</v>
          </cell>
          <cell r="B26" t="str">
            <v>Correctivo</v>
          </cell>
          <cell r="C26" t="str">
            <v>CIUD</v>
          </cell>
          <cell r="D26" t="str">
            <v>No</v>
          </cell>
          <cell r="E26" t="str">
            <v>O</v>
          </cell>
          <cell r="F26">
            <v>46206</v>
          </cell>
          <cell r="G26" t="str">
            <v>JKQ774</v>
          </cell>
          <cell r="H26" t="str">
            <v>ATEGO 1418</v>
          </cell>
          <cell r="I26" t="str">
            <v>Cambiar Faros De Aleron</v>
          </cell>
          <cell r="J26" t="str">
            <v>FALTA MATERIAL</v>
          </cell>
        </row>
        <row r="27">
          <cell r="A27">
            <v>36696</v>
          </cell>
          <cell r="B27" t="str">
            <v>Correctivo</v>
          </cell>
          <cell r="C27" t="str">
            <v>CIUD</v>
          </cell>
          <cell r="D27" t="str">
            <v>No</v>
          </cell>
          <cell r="E27" t="str">
            <v>O</v>
          </cell>
          <cell r="F27">
            <v>46206</v>
          </cell>
          <cell r="G27" t="str">
            <v>JKQ774</v>
          </cell>
          <cell r="H27" t="str">
            <v>ATEGO 1418</v>
          </cell>
          <cell r="I27" t="str">
            <v>Cambiar Manguera de Base de Filtro de Aire</v>
          </cell>
          <cell r="J27" t="str">
            <v>OK</v>
          </cell>
        </row>
        <row r="28">
          <cell r="A28">
            <v>36696</v>
          </cell>
          <cell r="B28" t="str">
            <v>Correctivo</v>
          </cell>
          <cell r="C28" t="str">
            <v>CIUD</v>
          </cell>
          <cell r="D28" t="str">
            <v>No</v>
          </cell>
          <cell r="E28" t="str">
            <v>O</v>
          </cell>
          <cell r="F28">
            <v>46206</v>
          </cell>
          <cell r="G28" t="str">
            <v>JKQ774</v>
          </cell>
          <cell r="H28" t="str">
            <v>ATEGO 1418</v>
          </cell>
          <cell r="I28" t="str">
            <v>Cambiar Bulbo Aceite</v>
          </cell>
          <cell r="J28" t="str">
            <v>OK</v>
          </cell>
        </row>
        <row r="29">
          <cell r="A29">
            <v>36696</v>
          </cell>
          <cell r="B29" t="str">
            <v>Correctivo</v>
          </cell>
          <cell r="C29" t="str">
            <v>CIUD</v>
          </cell>
          <cell r="D29" t="str">
            <v>No</v>
          </cell>
          <cell r="E29" t="str">
            <v>O</v>
          </cell>
          <cell r="F29">
            <v>46206</v>
          </cell>
          <cell r="G29" t="str">
            <v>JKQ774</v>
          </cell>
          <cell r="H29" t="str">
            <v>ATEGO 1418</v>
          </cell>
          <cell r="I29" t="str">
            <v>Cambiar Bulbo Aceite</v>
          </cell>
          <cell r="J29" t="str">
            <v>OK</v>
          </cell>
        </row>
        <row r="30">
          <cell r="A30">
            <v>36696</v>
          </cell>
          <cell r="B30" t="str">
            <v>Correctivo</v>
          </cell>
          <cell r="C30" t="str">
            <v>CIUD</v>
          </cell>
          <cell r="D30" t="str">
            <v>No</v>
          </cell>
          <cell r="E30" t="str">
            <v>O</v>
          </cell>
          <cell r="F30">
            <v>46206</v>
          </cell>
          <cell r="G30" t="str">
            <v>JKQ774</v>
          </cell>
          <cell r="H30" t="str">
            <v>ATEGO 1418</v>
          </cell>
          <cell r="I30" t="str">
            <v>Cambiar Manguera De Entrada De Turbo</v>
          </cell>
          <cell r="J30" t="str">
            <v>OK</v>
          </cell>
        </row>
        <row r="31">
          <cell r="A31">
            <v>36700</v>
          </cell>
          <cell r="B31" t="str">
            <v>Preventivo</v>
          </cell>
          <cell r="C31" t="str">
            <v>CIUD</v>
          </cell>
          <cell r="D31" t="str">
            <v>No</v>
          </cell>
          <cell r="E31" t="str">
            <v>O</v>
          </cell>
          <cell r="F31">
            <v>46206</v>
          </cell>
          <cell r="G31" t="str">
            <v>GDR526</v>
          </cell>
          <cell r="H31">
            <v>1620</v>
          </cell>
          <cell r="I31" t="str">
            <v>Cambio De Filtro Gas Oíl Y Trampa De Agua</v>
          </cell>
          <cell r="J31" t="str">
            <v>FALTA MATERIAL</v>
          </cell>
        </row>
        <row r="32">
          <cell r="A32">
            <v>36858</v>
          </cell>
          <cell r="B32" t="str">
            <v>Correctivo</v>
          </cell>
          <cell r="C32" t="str">
            <v>CIUD</v>
          </cell>
          <cell r="D32" t="str">
            <v>No</v>
          </cell>
          <cell r="E32" t="str">
            <v>O</v>
          </cell>
          <cell r="F32">
            <v>46206</v>
          </cell>
          <cell r="G32" t="str">
            <v>GNY198</v>
          </cell>
          <cell r="H32">
            <v>1624</v>
          </cell>
          <cell r="I32" t="str">
            <v>Cambio Mica</v>
          </cell>
          <cell r="J32" t="str">
            <v>OK</v>
          </cell>
        </row>
        <row r="33">
          <cell r="A33">
            <v>36858</v>
          </cell>
          <cell r="B33" t="str">
            <v>Correctivo</v>
          </cell>
          <cell r="C33" t="str">
            <v>CIUD</v>
          </cell>
          <cell r="D33" t="str">
            <v>No</v>
          </cell>
          <cell r="E33" t="str">
            <v>O</v>
          </cell>
          <cell r="F33">
            <v>46206</v>
          </cell>
          <cell r="G33" t="str">
            <v>GNY198</v>
          </cell>
          <cell r="H33">
            <v>1624</v>
          </cell>
          <cell r="I33" t="str">
            <v>Cambiar Flexible De Escape</v>
          </cell>
          <cell r="J33" t="str">
            <v>OK</v>
          </cell>
        </row>
        <row r="34">
          <cell r="A34">
            <v>36860</v>
          </cell>
          <cell r="B34" t="str">
            <v>Correctivo</v>
          </cell>
          <cell r="C34" t="str">
            <v>CIUD</v>
          </cell>
          <cell r="D34" t="str">
            <v>No</v>
          </cell>
          <cell r="E34" t="str">
            <v>O</v>
          </cell>
          <cell r="F34">
            <v>46206</v>
          </cell>
          <cell r="G34" t="str">
            <v>AF653AB</v>
          </cell>
          <cell r="H34" t="str">
            <v>ATEGO 1721</v>
          </cell>
          <cell r="I34" t="str">
            <v>Cambiar comando levanta vidrio</v>
          </cell>
          <cell r="J34" t="str">
            <v>OK</v>
          </cell>
        </row>
        <row r="35">
          <cell r="A35">
            <v>36997</v>
          </cell>
          <cell r="B35" t="str">
            <v>Correctivo</v>
          </cell>
          <cell r="C35" t="str">
            <v>BSAS</v>
          </cell>
          <cell r="D35" t="str">
            <v>No</v>
          </cell>
          <cell r="E35" t="str">
            <v>O</v>
          </cell>
          <cell r="F35">
            <v>46206</v>
          </cell>
          <cell r="G35" t="str">
            <v>AF444TX</v>
          </cell>
          <cell r="H35" t="str">
            <v>TECTOR EVO 170E28</v>
          </cell>
          <cell r="I35" t="str">
            <v>Cambiar Lampara De Giro</v>
          </cell>
          <cell r="J35" t="str">
            <v>OK</v>
          </cell>
        </row>
        <row r="36">
          <cell r="A36">
            <v>36997</v>
          </cell>
          <cell r="B36" t="str">
            <v>Correctivo</v>
          </cell>
          <cell r="C36" t="str">
            <v>BSAS</v>
          </cell>
          <cell r="D36" t="str">
            <v>No</v>
          </cell>
          <cell r="E36" t="str">
            <v>O</v>
          </cell>
          <cell r="F36">
            <v>46206</v>
          </cell>
          <cell r="G36" t="str">
            <v>AF444TX</v>
          </cell>
          <cell r="H36" t="str">
            <v>TECTOR EVO 170E28</v>
          </cell>
          <cell r="I36" t="str">
            <v>Cambiar lampara h7 24v</v>
          </cell>
          <cell r="J36" t="str">
            <v>OK</v>
          </cell>
        </row>
        <row r="37">
          <cell r="A37">
            <v>36863</v>
          </cell>
          <cell r="B37" t="str">
            <v>Correctivo</v>
          </cell>
          <cell r="C37" t="str">
            <v>CIUD</v>
          </cell>
          <cell r="D37" t="str">
            <v>No</v>
          </cell>
          <cell r="E37" t="str">
            <v>O</v>
          </cell>
          <cell r="F37">
            <v>46207</v>
          </cell>
          <cell r="G37" t="str">
            <v>LFK339</v>
          </cell>
          <cell r="H37" t="str">
            <v>AXOR 2035</v>
          </cell>
          <cell r="I37" t="str">
            <v>Colocaron Tacos de Goma a Chapon de Piso de Enganche</v>
          </cell>
          <cell r="J37" t="str">
            <v>FALTA MATERIAL</v>
          </cell>
        </row>
        <row r="38">
          <cell r="A38">
            <v>36879</v>
          </cell>
          <cell r="B38" t="str">
            <v>Correctivo</v>
          </cell>
          <cell r="C38" t="str">
            <v>CIUD</v>
          </cell>
          <cell r="D38" t="str">
            <v>No</v>
          </cell>
          <cell r="E38" t="str">
            <v>O</v>
          </cell>
          <cell r="F38">
            <v>46209</v>
          </cell>
          <cell r="G38" t="str">
            <v>JKG664</v>
          </cell>
          <cell r="H38" t="str">
            <v>ATEGO 1725</v>
          </cell>
          <cell r="I38" t="str">
            <v>Cambiar tensor de espejo der</v>
          </cell>
          <cell r="J38" t="str">
            <v>OK</v>
          </cell>
        </row>
        <row r="39">
          <cell r="A39">
            <v>36879</v>
          </cell>
          <cell r="B39" t="str">
            <v>Correctivo</v>
          </cell>
          <cell r="C39" t="str">
            <v>CIUD</v>
          </cell>
          <cell r="D39" t="str">
            <v>No</v>
          </cell>
          <cell r="E39" t="str">
            <v>O</v>
          </cell>
          <cell r="F39">
            <v>46209</v>
          </cell>
          <cell r="G39" t="str">
            <v>JKG664</v>
          </cell>
          <cell r="H39" t="str">
            <v>ATEGO 1725</v>
          </cell>
          <cell r="I39" t="str">
            <v>Colocar Valvula Presion de Aire 6 vias</v>
          </cell>
          <cell r="J39" t="str">
            <v>OK</v>
          </cell>
        </row>
        <row r="40">
          <cell r="A40">
            <v>36879</v>
          </cell>
          <cell r="B40" t="str">
            <v>Correctivo</v>
          </cell>
          <cell r="C40" t="str">
            <v>CIUD</v>
          </cell>
          <cell r="D40" t="str">
            <v>No</v>
          </cell>
          <cell r="E40" t="str">
            <v>O</v>
          </cell>
          <cell r="F40">
            <v>46209</v>
          </cell>
          <cell r="G40" t="str">
            <v>JKG664</v>
          </cell>
          <cell r="H40" t="str">
            <v>ATEGO 1725</v>
          </cell>
          <cell r="I40" t="str">
            <v>Cambiar Bulbo de Presion de Aire</v>
          </cell>
          <cell r="J40" t="str">
            <v>OK</v>
          </cell>
        </row>
        <row r="41">
          <cell r="A41">
            <v>36888</v>
          </cell>
          <cell r="B41" t="str">
            <v>Correctivo</v>
          </cell>
          <cell r="C41" t="str">
            <v>CIUD</v>
          </cell>
          <cell r="D41" t="str">
            <v>No</v>
          </cell>
          <cell r="E41" t="str">
            <v>O</v>
          </cell>
          <cell r="F41">
            <v>46209</v>
          </cell>
          <cell r="G41" t="str">
            <v>AF491HL</v>
          </cell>
          <cell r="H41" t="str">
            <v>SPRINTER 316 CDI FURGON 3665</v>
          </cell>
          <cell r="I41" t="str">
            <v>Cambiar Matafuego</v>
          </cell>
          <cell r="J41" t="str">
            <v>FALTA MATERIAL</v>
          </cell>
        </row>
        <row r="42">
          <cell r="A42">
            <v>36888</v>
          </cell>
          <cell r="B42" t="str">
            <v>Correctivo</v>
          </cell>
          <cell r="C42" t="str">
            <v>CIUD</v>
          </cell>
          <cell r="D42" t="str">
            <v>No</v>
          </cell>
          <cell r="E42" t="str">
            <v>O</v>
          </cell>
          <cell r="F42">
            <v>46209</v>
          </cell>
          <cell r="G42" t="str">
            <v>AF491HL</v>
          </cell>
          <cell r="H42" t="str">
            <v>SPRINTER 316 CDI FURGON 3665</v>
          </cell>
          <cell r="I42" t="str">
            <v>Cambiar Matafuego</v>
          </cell>
          <cell r="J42" t="str">
            <v>FALTA MATERIAL</v>
          </cell>
        </row>
        <row r="43">
          <cell r="A43">
            <v>36908</v>
          </cell>
          <cell r="B43" t="str">
            <v>Correctivo</v>
          </cell>
          <cell r="C43" t="str">
            <v>CIUD</v>
          </cell>
          <cell r="D43" t="str">
            <v>No</v>
          </cell>
          <cell r="E43" t="str">
            <v>O</v>
          </cell>
          <cell r="F43">
            <v>46209</v>
          </cell>
          <cell r="G43" t="str">
            <v>KKZ666</v>
          </cell>
          <cell r="H43" t="str">
            <v>FTHDCFW3</v>
          </cell>
          <cell r="I43" t="str">
            <v>Colocar vejiga Eje Neumatico deTrabajo Lado Der</v>
          </cell>
          <cell r="J43" t="str">
            <v>FALTA MATERIAL</v>
          </cell>
        </row>
        <row r="44">
          <cell r="A44">
            <v>36927</v>
          </cell>
          <cell r="B44" t="str">
            <v>Correctivo</v>
          </cell>
          <cell r="C44" t="str">
            <v>BSAS</v>
          </cell>
          <cell r="D44" t="str">
            <v>No</v>
          </cell>
          <cell r="E44">
            <v>0</v>
          </cell>
          <cell r="F44">
            <v>46209</v>
          </cell>
          <cell r="G44" t="str">
            <v>ESTRUCTURA BA</v>
          </cell>
          <cell r="H44" t="str">
            <v>ESTRUCTURA BUENOS AIRES</v>
          </cell>
          <cell r="I44" t="str">
            <v>Colocacion Rack Sistemas</v>
          </cell>
          <cell r="J44" t="str">
            <v>FALTA MATERIAL</v>
          </cell>
        </row>
        <row r="45">
          <cell r="A45">
            <v>36935</v>
          </cell>
          <cell r="B45" t="str">
            <v>Correctivo</v>
          </cell>
          <cell r="C45" t="str">
            <v>CIUD</v>
          </cell>
          <cell r="D45" t="str">
            <v>No</v>
          </cell>
          <cell r="E45" t="str">
            <v>O</v>
          </cell>
          <cell r="F45">
            <v>46209</v>
          </cell>
          <cell r="G45" t="str">
            <v>AF338VO</v>
          </cell>
          <cell r="H45" t="str">
            <v>ATEGO 1419</v>
          </cell>
          <cell r="I45" t="str">
            <v>Cambiar Cubierta BDI - 1/2 Uso Armado Y Desarmado</v>
          </cell>
          <cell r="J45" t="str">
            <v>FALTA MATERIAL</v>
          </cell>
        </row>
        <row r="46">
          <cell r="A46">
            <v>36936</v>
          </cell>
          <cell r="B46" t="str">
            <v>Tercero</v>
          </cell>
          <cell r="C46" t="str">
            <v>CIUD</v>
          </cell>
          <cell r="D46" t="str">
            <v>No</v>
          </cell>
          <cell r="E46" t="str">
            <v>O</v>
          </cell>
          <cell r="F46">
            <v>46209</v>
          </cell>
          <cell r="G46" t="str">
            <v>OMQ198</v>
          </cell>
          <cell r="H46" t="str">
            <v>ATEGO 1725</v>
          </cell>
          <cell r="I46" t="str">
            <v>Cambiar bujes de elasticos traseros</v>
          </cell>
          <cell r="J46" t="str">
            <v>FALTA MATERIAL</v>
          </cell>
        </row>
        <row r="47">
          <cell r="A47">
            <v>36936</v>
          </cell>
          <cell r="B47" t="str">
            <v>Tercero</v>
          </cell>
          <cell r="C47" t="str">
            <v>CIUD</v>
          </cell>
          <cell r="D47" t="str">
            <v>No</v>
          </cell>
          <cell r="E47" t="str">
            <v>O</v>
          </cell>
          <cell r="F47">
            <v>46209</v>
          </cell>
          <cell r="G47" t="str">
            <v>OMQ198</v>
          </cell>
          <cell r="H47" t="str">
            <v>ATEGO 1725</v>
          </cell>
          <cell r="I47" t="str">
            <v>Cambiar Piton De Centro</v>
          </cell>
          <cell r="J47" t="str">
            <v>FALTA MATERIAL</v>
          </cell>
        </row>
        <row r="48">
          <cell r="A48">
            <v>36936</v>
          </cell>
          <cell r="B48" t="str">
            <v>Tercero</v>
          </cell>
          <cell r="C48" t="str">
            <v>CIUD</v>
          </cell>
          <cell r="D48" t="str">
            <v>No</v>
          </cell>
          <cell r="E48" t="str">
            <v>O</v>
          </cell>
          <cell r="F48">
            <v>46209</v>
          </cell>
          <cell r="G48" t="str">
            <v>OMQ198</v>
          </cell>
          <cell r="H48" t="str">
            <v>ATEGO 1725</v>
          </cell>
          <cell r="I48" t="str">
            <v>Colocar perno de tensores de ejes</v>
          </cell>
          <cell r="J48" t="str">
            <v>FALTA MATERIAL</v>
          </cell>
        </row>
        <row r="49">
          <cell r="A49">
            <v>36937</v>
          </cell>
          <cell r="B49" t="str">
            <v>Tercero</v>
          </cell>
          <cell r="C49" t="str">
            <v>CIUD</v>
          </cell>
          <cell r="D49" t="str">
            <v>No</v>
          </cell>
          <cell r="E49" t="str">
            <v>O</v>
          </cell>
          <cell r="F49">
            <v>46209</v>
          </cell>
          <cell r="G49" t="str">
            <v>AD367QF</v>
          </cell>
          <cell r="H49" t="str">
            <v>S.A.P.3E.71</v>
          </cell>
          <cell r="I49" t="str">
            <v>Balancines Sacar Embujar y Colocar</v>
          </cell>
          <cell r="J49" t="str">
            <v>FALTA MATERIAL</v>
          </cell>
        </row>
        <row r="50">
          <cell r="A50">
            <v>37032</v>
          </cell>
          <cell r="B50" t="str">
            <v>Correctivo</v>
          </cell>
          <cell r="C50" t="str">
            <v>CIUD</v>
          </cell>
          <cell r="D50" t="str">
            <v>No</v>
          </cell>
          <cell r="E50" t="str">
            <v>O</v>
          </cell>
          <cell r="F50">
            <v>46210</v>
          </cell>
          <cell r="G50" t="str">
            <v>HNE430</v>
          </cell>
          <cell r="H50">
            <v>1318</v>
          </cell>
          <cell r="I50" t="str">
            <v>Cambiar Bulbo Aceite</v>
          </cell>
          <cell r="J50" t="str">
            <v>-</v>
          </cell>
        </row>
        <row r="51">
          <cell r="A51">
            <v>37044</v>
          </cell>
          <cell r="B51" t="str">
            <v>Correctivo</v>
          </cell>
          <cell r="C51" t="str">
            <v>CIUD</v>
          </cell>
          <cell r="D51" t="str">
            <v>No</v>
          </cell>
          <cell r="E51" t="str">
            <v>O</v>
          </cell>
          <cell r="F51">
            <v>46211</v>
          </cell>
          <cell r="G51" t="str">
            <v>AF461DA</v>
          </cell>
          <cell r="H51" t="str">
            <v>PALETERO S.PA.3E.71 2+1</v>
          </cell>
          <cell r="I51" t="str">
            <v>Cambiar Cinta Frenos 1Eje Lado Der</v>
          </cell>
          <cell r="J51" t="str">
            <v>OK</v>
          </cell>
        </row>
        <row r="52">
          <cell r="A52">
            <v>37044</v>
          </cell>
          <cell r="B52" t="str">
            <v>Correctivo</v>
          </cell>
          <cell r="C52" t="str">
            <v>CIUD</v>
          </cell>
          <cell r="D52" t="str">
            <v>No</v>
          </cell>
          <cell r="E52" t="str">
            <v>O</v>
          </cell>
          <cell r="F52">
            <v>46211</v>
          </cell>
          <cell r="G52" t="str">
            <v>AF461DA</v>
          </cell>
          <cell r="H52" t="str">
            <v>PALETERO S.PA.3E.71 2+1</v>
          </cell>
          <cell r="I52" t="str">
            <v>Cambiar Cinta Frenos 1Eje Lado Izq</v>
          </cell>
          <cell r="J52" t="str">
            <v>OK</v>
          </cell>
        </row>
        <row r="53">
          <cell r="A53">
            <v>37050</v>
          </cell>
          <cell r="B53" t="str">
            <v>Correctivo</v>
          </cell>
          <cell r="C53" t="str">
            <v>CIUD</v>
          </cell>
          <cell r="D53" t="str">
            <v>No</v>
          </cell>
          <cell r="E53" t="str">
            <v>O</v>
          </cell>
          <cell r="F53">
            <v>46211</v>
          </cell>
          <cell r="G53" t="str">
            <v>AD426IJ</v>
          </cell>
          <cell r="H53" t="str">
            <v>AXOR 2541</v>
          </cell>
          <cell r="I53" t="str">
            <v>Cambiar Cruceta de Cardan</v>
          </cell>
          <cell r="J53" t="str">
            <v>FALTA MATERIAL</v>
          </cell>
        </row>
        <row r="54">
          <cell r="A54">
            <v>37053</v>
          </cell>
          <cell r="B54" t="str">
            <v>Preventivo</v>
          </cell>
          <cell r="C54" t="str">
            <v>CIUD</v>
          </cell>
          <cell r="D54" t="str">
            <v>No</v>
          </cell>
          <cell r="E54" t="str">
            <v>O</v>
          </cell>
          <cell r="F54">
            <v>46211</v>
          </cell>
          <cell r="G54" t="str">
            <v>AG043HA</v>
          </cell>
          <cell r="H54" t="str">
            <v>ATEGO 1729</v>
          </cell>
          <cell r="I54" t="str">
            <v>Cambiar filtro de aire</v>
          </cell>
          <cell r="J54" t="str">
            <v>OK</v>
          </cell>
        </row>
        <row r="55">
          <cell r="A55">
            <v>37055</v>
          </cell>
          <cell r="B55" t="str">
            <v>Correctivo</v>
          </cell>
          <cell r="C55" t="str">
            <v>CIUD</v>
          </cell>
          <cell r="D55" t="str">
            <v>No</v>
          </cell>
          <cell r="E55" t="str">
            <v>O</v>
          </cell>
          <cell r="F55">
            <v>46211</v>
          </cell>
          <cell r="G55" t="str">
            <v>AG043HA</v>
          </cell>
          <cell r="H55" t="str">
            <v>ATEGO 1729</v>
          </cell>
          <cell r="I55" t="str">
            <v>Cambiar lampara h7 24v</v>
          </cell>
          <cell r="J55" t="str">
            <v>FALTA MATERIAL</v>
          </cell>
        </row>
        <row r="56">
          <cell r="A56">
            <v>37073</v>
          </cell>
          <cell r="B56" t="str">
            <v>Correctivo</v>
          </cell>
          <cell r="C56" t="str">
            <v>CIUD</v>
          </cell>
          <cell r="D56" t="str">
            <v>No</v>
          </cell>
          <cell r="E56" t="str">
            <v>O</v>
          </cell>
          <cell r="F56">
            <v>46211</v>
          </cell>
          <cell r="G56" t="str">
            <v>AF066NS</v>
          </cell>
          <cell r="H56" t="str">
            <v>TECTOR EVO 170E28</v>
          </cell>
          <cell r="I56" t="str">
            <v>Cambiar comando levanta vidrio</v>
          </cell>
          <cell r="J56" t="str">
            <v>OK</v>
          </cell>
        </row>
        <row r="57">
          <cell r="A57">
            <v>37074</v>
          </cell>
          <cell r="B57" t="str">
            <v>Correctivo</v>
          </cell>
          <cell r="C57" t="str">
            <v>CIUD</v>
          </cell>
          <cell r="D57" t="str">
            <v>No</v>
          </cell>
          <cell r="E57" t="str">
            <v>O</v>
          </cell>
          <cell r="F57">
            <v>46211</v>
          </cell>
          <cell r="G57" t="str">
            <v>FGV321</v>
          </cell>
          <cell r="H57">
            <v>1218</v>
          </cell>
          <cell r="I57" t="str">
            <v>Cambiar Crapodina Hidraulica</v>
          </cell>
          <cell r="J57" t="str">
            <v>FALTA MATERIAL</v>
          </cell>
        </row>
        <row r="58">
          <cell r="A58">
            <v>37074</v>
          </cell>
          <cell r="B58" t="str">
            <v>Correctivo</v>
          </cell>
          <cell r="C58" t="str">
            <v>CIUD</v>
          </cell>
          <cell r="D58" t="str">
            <v>No</v>
          </cell>
          <cell r="E58" t="str">
            <v>O</v>
          </cell>
          <cell r="F58">
            <v>46211</v>
          </cell>
          <cell r="G58" t="str">
            <v>FGV321</v>
          </cell>
          <cell r="H58">
            <v>1218</v>
          </cell>
          <cell r="I58" t="str">
            <v>Colocar Embrague (Placa, Disco y Volante Reparado)</v>
          </cell>
          <cell r="J58" t="str">
            <v>FALTA MATERIAL</v>
          </cell>
        </row>
        <row r="59">
          <cell r="A59">
            <v>37081</v>
          </cell>
          <cell r="B59" t="str">
            <v>Correctivo</v>
          </cell>
          <cell r="C59" t="str">
            <v>CIUD</v>
          </cell>
          <cell r="D59" t="str">
            <v>No</v>
          </cell>
          <cell r="E59" t="str">
            <v>O</v>
          </cell>
          <cell r="F59">
            <v>46213</v>
          </cell>
          <cell r="G59" t="str">
            <v>JEB636</v>
          </cell>
          <cell r="H59" t="str">
            <v>ATEGO 1725</v>
          </cell>
          <cell r="I59" t="str">
            <v>Sacar y Colocar Parrilla Delantera</v>
          </cell>
          <cell r="J59" t="str">
            <v>FALTA MATERIAL</v>
          </cell>
        </row>
        <row r="60">
          <cell r="A60">
            <v>37081</v>
          </cell>
          <cell r="B60" t="str">
            <v>Correctivo</v>
          </cell>
          <cell r="C60" t="str">
            <v>CIUD</v>
          </cell>
          <cell r="D60" t="str">
            <v>No</v>
          </cell>
          <cell r="E60" t="str">
            <v>O</v>
          </cell>
          <cell r="F60">
            <v>46213</v>
          </cell>
          <cell r="G60" t="str">
            <v>JEB636</v>
          </cell>
          <cell r="H60" t="str">
            <v>ATEGO 1725</v>
          </cell>
          <cell r="I60" t="str">
            <v>Colocar Tornillo Pasante a Caño Compresor</v>
          </cell>
          <cell r="J60" t="str">
            <v>FALTA MATERIAL</v>
          </cell>
        </row>
        <row r="61">
          <cell r="A61">
            <v>37114</v>
          </cell>
          <cell r="B61" t="str">
            <v>Correctivo</v>
          </cell>
          <cell r="C61" t="str">
            <v>BSAS</v>
          </cell>
          <cell r="D61" t="str">
            <v>No</v>
          </cell>
          <cell r="E61" t="str">
            <v>O</v>
          </cell>
          <cell r="F61">
            <v>46213</v>
          </cell>
          <cell r="G61" t="str">
            <v>KBV611</v>
          </cell>
          <cell r="H61">
            <v>1318</v>
          </cell>
          <cell r="I61" t="str">
            <v>Cambiar lamparas</v>
          </cell>
          <cell r="J61" t="str">
            <v>FALTA MATERIAL</v>
          </cell>
        </row>
        <row r="62">
          <cell r="A62">
            <v>37122</v>
          </cell>
          <cell r="B62" t="str">
            <v>Correctivo</v>
          </cell>
          <cell r="C62" t="str">
            <v>BSAS</v>
          </cell>
          <cell r="D62" t="str">
            <v>No</v>
          </cell>
          <cell r="E62" t="str">
            <v>O</v>
          </cell>
          <cell r="F62">
            <v>46213</v>
          </cell>
          <cell r="G62" t="str">
            <v>AG095MQ</v>
          </cell>
          <cell r="H62" t="str">
            <v>ATEGO 1721</v>
          </cell>
          <cell r="I62" t="str">
            <v>Colocar Vidrio de Espejo Inferior Izquierdo</v>
          </cell>
          <cell r="J62" t="str">
            <v>FALTA MATERIAL</v>
          </cell>
        </row>
        <row r="63">
          <cell r="A63">
            <v>37123</v>
          </cell>
          <cell r="B63" t="str">
            <v>Correctivo</v>
          </cell>
          <cell r="C63" t="str">
            <v>BSAS</v>
          </cell>
          <cell r="D63" t="str">
            <v>No</v>
          </cell>
          <cell r="E63" t="str">
            <v>O</v>
          </cell>
          <cell r="F63">
            <v>46213</v>
          </cell>
          <cell r="G63" t="str">
            <v>JAD357</v>
          </cell>
          <cell r="H63" t="str">
            <v>ATEGO 1725</v>
          </cell>
          <cell r="I63" t="str">
            <v>Colocar Grafica TDU</v>
          </cell>
          <cell r="J63" t="str">
            <v>FALTA MATERIAL</v>
          </cell>
        </row>
        <row r="64">
          <cell r="A64">
            <v>37124</v>
          </cell>
          <cell r="B64" t="str">
            <v>Correctivo</v>
          </cell>
          <cell r="C64" t="str">
            <v>BSAS</v>
          </cell>
          <cell r="D64" t="str">
            <v>No</v>
          </cell>
          <cell r="E64" t="str">
            <v>O</v>
          </cell>
          <cell r="F64">
            <v>46213</v>
          </cell>
          <cell r="G64" t="str">
            <v>JEB635</v>
          </cell>
          <cell r="H64" t="str">
            <v>ATEGO 1725</v>
          </cell>
          <cell r="I64" t="str">
            <v>Colocar Grafica TDU</v>
          </cell>
          <cell r="J64" t="str">
            <v>FALTA MATERIAL</v>
          </cell>
        </row>
        <row r="65">
          <cell r="A65">
            <v>37125</v>
          </cell>
          <cell r="B65" t="str">
            <v>Correctivo</v>
          </cell>
          <cell r="C65" t="str">
            <v>BSAS</v>
          </cell>
          <cell r="D65" t="str">
            <v>No</v>
          </cell>
          <cell r="E65" t="str">
            <v>O</v>
          </cell>
          <cell r="F65">
            <v>46213</v>
          </cell>
          <cell r="G65" t="str">
            <v>AF746EM</v>
          </cell>
          <cell r="H65" t="str">
            <v>170E30TLA22 EBS</v>
          </cell>
          <cell r="I65" t="str">
            <v>Colocar Grafica TDU</v>
          </cell>
          <cell r="J65" t="str">
            <v>FALTA MATERIAL</v>
          </cell>
        </row>
        <row r="66">
          <cell r="A66">
            <v>37126</v>
          </cell>
          <cell r="B66" t="str">
            <v>Correctivo</v>
          </cell>
          <cell r="C66" t="str">
            <v>BSAS</v>
          </cell>
          <cell r="D66" t="str">
            <v>No</v>
          </cell>
          <cell r="E66" t="str">
            <v>O</v>
          </cell>
          <cell r="F66">
            <v>46213</v>
          </cell>
          <cell r="G66" t="str">
            <v>PLU469</v>
          </cell>
          <cell r="H66" t="str">
            <v>ACCELO 915</v>
          </cell>
          <cell r="I66" t="str">
            <v>Cambiar lampara h7 24v</v>
          </cell>
        </row>
        <row r="67">
          <cell r="A67">
            <v>37127</v>
          </cell>
          <cell r="B67" t="str">
            <v>Correctivo</v>
          </cell>
          <cell r="C67" t="str">
            <v>BSAS</v>
          </cell>
          <cell r="D67" t="str">
            <v>No</v>
          </cell>
          <cell r="E67" t="str">
            <v>O</v>
          </cell>
          <cell r="F67">
            <v>46213</v>
          </cell>
          <cell r="G67" t="str">
            <v>OHH590</v>
          </cell>
          <cell r="H67" t="str">
            <v>ATRON 1720</v>
          </cell>
          <cell r="I67" t="str">
            <v>Cambio Tecla De Luz</v>
          </cell>
          <cell r="J67" t="str">
            <v>FALTA MATERIAL</v>
          </cell>
        </row>
        <row r="68">
          <cell r="A68">
            <v>37149</v>
          </cell>
          <cell r="B68" t="str">
            <v>Correctivo</v>
          </cell>
          <cell r="C68" t="str">
            <v>CIUD</v>
          </cell>
          <cell r="D68" t="str">
            <v>No</v>
          </cell>
          <cell r="E68" t="str">
            <v>O</v>
          </cell>
          <cell r="F68">
            <v>46214</v>
          </cell>
          <cell r="G68" t="str">
            <v>CVF923</v>
          </cell>
          <cell r="H68">
            <v>712</v>
          </cell>
          <cell r="I68" t="str">
            <v>Colocar Membrana en Pasta al Techo 2 Manos</v>
          </cell>
          <cell r="J68" t="str">
            <v>FALTA MATERIAL</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82"/>
  <sheetViews>
    <sheetView tabSelected="1" workbookViewId="0">
      <selection activeCell="A470" sqref="A470:XFD577"/>
    </sheetView>
  </sheetViews>
  <sheetFormatPr baseColWidth="10" defaultColWidth="8.88671875" defaultRowHeight="14.4" x14ac:dyDescent="0.3"/>
  <cols>
    <col min="1" max="1" width="13" customWidth="1"/>
    <col min="2" max="2" width="16" customWidth="1"/>
    <col min="3" max="3" width="20" customWidth="1"/>
    <col min="4" max="4" width="16" customWidth="1"/>
    <col min="5" max="5" width="20" customWidth="1"/>
    <col min="6" max="6" width="22" customWidth="1"/>
    <col min="7" max="7" width="20" customWidth="1"/>
    <col min="8" max="8" width="41" customWidth="1"/>
    <col min="9" max="9" width="76" customWidth="1"/>
    <col min="10" max="10" width="15" customWidth="1"/>
    <col min="11" max="12" width="80" customWidth="1"/>
    <col min="13" max="13" width="14.5546875" bestFit="1" customWidth="1"/>
    <col min="14" max="14" width="21" style="16"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4" t="s">
        <v>890</v>
      </c>
      <c r="N1" s="14" t="s">
        <v>891</v>
      </c>
    </row>
    <row r="2" spans="1:14" x14ac:dyDescent="0.3">
      <c r="A2" s="2">
        <v>34868</v>
      </c>
      <c r="B2" s="2" t="s">
        <v>12</v>
      </c>
      <c r="C2" s="3" t="s">
        <v>13</v>
      </c>
      <c r="D2" s="2" t="s">
        <v>26</v>
      </c>
      <c r="E2" s="12">
        <v>46173</v>
      </c>
      <c r="F2" s="2" t="s">
        <v>27</v>
      </c>
      <c r="G2" s="3" t="s">
        <v>290</v>
      </c>
      <c r="H2" s="3" t="s">
        <v>137</v>
      </c>
      <c r="I2" s="4" t="s">
        <v>291</v>
      </c>
      <c r="J2" s="2" t="s">
        <v>18</v>
      </c>
      <c r="K2" s="3" t="s">
        <v>292</v>
      </c>
      <c r="L2" s="3" t="s">
        <v>293</v>
      </c>
      <c r="M2" s="15">
        <v>46217</v>
      </c>
      <c r="N2" s="16" t="str">
        <f>IFERROR(VLOOKUP(A2,[1]Hoja1!$A$2:$J$68,10,FALSE), " - ")</f>
        <v xml:space="preserve"> - </v>
      </c>
    </row>
    <row r="3" spans="1:14" x14ac:dyDescent="0.3">
      <c r="A3" s="2">
        <v>34868</v>
      </c>
      <c r="B3" s="2" t="s">
        <v>12</v>
      </c>
      <c r="C3" s="3" t="s">
        <v>13</v>
      </c>
      <c r="D3" s="2" t="s">
        <v>26</v>
      </c>
      <c r="E3" s="12">
        <v>46173</v>
      </c>
      <c r="F3" s="2" t="s">
        <v>27</v>
      </c>
      <c r="G3" s="3" t="s">
        <v>290</v>
      </c>
      <c r="H3" s="3" t="s">
        <v>137</v>
      </c>
      <c r="I3" s="4" t="s">
        <v>110</v>
      </c>
      <c r="J3" s="2" t="s">
        <v>18</v>
      </c>
      <c r="K3" s="3" t="s">
        <v>111</v>
      </c>
      <c r="L3" s="3" t="s">
        <v>293</v>
      </c>
      <c r="M3" s="15">
        <v>46217</v>
      </c>
      <c r="N3" s="16" t="str">
        <f>IFERROR(VLOOKUP(A3,[1]Hoja1!$A$2:$J$68,10,FALSE), " - ")</f>
        <v xml:space="preserve"> - </v>
      </c>
    </row>
    <row r="4" spans="1:14" x14ac:dyDescent="0.3">
      <c r="A4" s="5">
        <v>34868</v>
      </c>
      <c r="B4" s="5" t="s">
        <v>12</v>
      </c>
      <c r="C4" s="6" t="s">
        <v>13</v>
      </c>
      <c r="D4" s="5" t="s">
        <v>26</v>
      </c>
      <c r="E4" s="13">
        <v>46173</v>
      </c>
      <c r="F4" s="5" t="s">
        <v>27</v>
      </c>
      <c r="G4" s="6" t="s">
        <v>290</v>
      </c>
      <c r="H4" s="6" t="s">
        <v>137</v>
      </c>
      <c r="I4" s="4" t="s">
        <v>643</v>
      </c>
      <c r="J4" s="5" t="s">
        <v>18</v>
      </c>
      <c r="K4" s="6" t="s">
        <v>471</v>
      </c>
      <c r="L4" s="6" t="s">
        <v>293</v>
      </c>
      <c r="M4" s="15">
        <v>46217</v>
      </c>
      <c r="N4" s="16" t="str">
        <f>IFERROR(VLOOKUP(A4,[1]Hoja1!$A$2:$J$68,10,FALSE), " - ")</f>
        <v xml:space="preserve"> - </v>
      </c>
    </row>
    <row r="5" spans="1:14" x14ac:dyDescent="0.3">
      <c r="A5" s="2">
        <v>34868</v>
      </c>
      <c r="B5" s="2" t="s">
        <v>12</v>
      </c>
      <c r="C5" s="3" t="s">
        <v>13</v>
      </c>
      <c r="D5" s="2" t="s">
        <v>26</v>
      </c>
      <c r="E5" s="12">
        <v>46173</v>
      </c>
      <c r="F5" s="2" t="s">
        <v>27</v>
      </c>
      <c r="G5" s="3" t="s">
        <v>290</v>
      </c>
      <c r="H5" s="3" t="s">
        <v>137</v>
      </c>
      <c r="I5" s="4" t="s">
        <v>487</v>
      </c>
      <c r="J5" s="2" t="s">
        <v>18</v>
      </c>
      <c r="K5" s="3" t="s">
        <v>488</v>
      </c>
      <c r="L5" s="3" t="s">
        <v>293</v>
      </c>
      <c r="M5" s="15">
        <v>46217</v>
      </c>
      <c r="N5" s="16" t="str">
        <f>IFERROR(VLOOKUP(A5,[1]Hoja1!$A$2:$J$68,10,FALSE), " - ")</f>
        <v xml:space="preserve"> - </v>
      </c>
    </row>
    <row r="6" spans="1:14" x14ac:dyDescent="0.3">
      <c r="A6" s="5">
        <v>34868</v>
      </c>
      <c r="B6" s="5" t="s">
        <v>12</v>
      </c>
      <c r="C6" s="6" t="s">
        <v>13</v>
      </c>
      <c r="D6" s="5" t="s">
        <v>26</v>
      </c>
      <c r="E6" s="13">
        <v>46173</v>
      </c>
      <c r="F6" s="5" t="s">
        <v>27</v>
      </c>
      <c r="G6" s="6" t="s">
        <v>290</v>
      </c>
      <c r="H6" s="6" t="s">
        <v>137</v>
      </c>
      <c r="I6" s="4" t="s">
        <v>844</v>
      </c>
      <c r="J6" s="5" t="s">
        <v>18</v>
      </c>
      <c r="K6" s="6" t="s">
        <v>292</v>
      </c>
      <c r="L6" s="6" t="s">
        <v>293</v>
      </c>
      <c r="M6" s="15">
        <v>46217</v>
      </c>
      <c r="N6" s="16" t="str">
        <f>IFERROR(VLOOKUP(A6,[1]Hoja1!$A$2:$J$68,10,FALSE), " - ")</f>
        <v xml:space="preserve"> - </v>
      </c>
    </row>
    <row r="7" spans="1:14" x14ac:dyDescent="0.3">
      <c r="A7" s="5">
        <v>34870</v>
      </c>
      <c r="B7" s="5" t="s">
        <v>12</v>
      </c>
      <c r="C7" s="6" t="s">
        <v>13</v>
      </c>
      <c r="D7" s="5" t="s">
        <v>26</v>
      </c>
      <c r="E7" s="13">
        <v>46173</v>
      </c>
      <c r="F7" s="5" t="s">
        <v>27</v>
      </c>
      <c r="G7" s="6" t="s">
        <v>37</v>
      </c>
      <c r="H7" s="6" t="s">
        <v>38</v>
      </c>
      <c r="I7" s="4" t="s">
        <v>39</v>
      </c>
      <c r="J7" s="5" t="s">
        <v>18</v>
      </c>
      <c r="K7" s="6" t="s">
        <v>35</v>
      </c>
      <c r="L7" s="6" t="s">
        <v>40</v>
      </c>
      <c r="M7" s="15">
        <v>46217</v>
      </c>
      <c r="N7" s="16" t="str">
        <f>IFERROR(VLOOKUP(A7,[1]Hoja1!$A$2:$J$68,10,FALSE), " - ")</f>
        <v xml:space="preserve"> - </v>
      </c>
    </row>
    <row r="8" spans="1:14" x14ac:dyDescent="0.3">
      <c r="A8" s="2">
        <v>34870</v>
      </c>
      <c r="B8" s="2" t="s">
        <v>12</v>
      </c>
      <c r="C8" s="3" t="s">
        <v>13</v>
      </c>
      <c r="D8" s="2" t="s">
        <v>26</v>
      </c>
      <c r="E8" s="12">
        <v>46173</v>
      </c>
      <c r="F8" s="2" t="s">
        <v>27</v>
      </c>
      <c r="G8" s="3" t="s">
        <v>37</v>
      </c>
      <c r="H8" s="3" t="s">
        <v>38</v>
      </c>
      <c r="I8" s="4" t="s">
        <v>216</v>
      </c>
      <c r="J8" s="2" t="s">
        <v>18</v>
      </c>
      <c r="K8" s="3" t="s">
        <v>35</v>
      </c>
      <c r="L8" s="3" t="s">
        <v>40</v>
      </c>
      <c r="M8" s="15">
        <v>46217</v>
      </c>
      <c r="N8" s="16" t="str">
        <f>IFERROR(VLOOKUP(A8,[1]Hoja1!$A$2:$J$68,10,FALSE), " - ")</f>
        <v xml:space="preserve"> - </v>
      </c>
    </row>
    <row r="9" spans="1:14" x14ac:dyDescent="0.3">
      <c r="A9" s="2">
        <v>34874</v>
      </c>
      <c r="B9" s="2" t="s">
        <v>12</v>
      </c>
      <c r="C9" s="3" t="s">
        <v>13</v>
      </c>
      <c r="D9" s="2" t="s">
        <v>26</v>
      </c>
      <c r="E9" s="12">
        <v>46173</v>
      </c>
      <c r="F9" s="2" t="s">
        <v>27</v>
      </c>
      <c r="G9" s="3" t="s">
        <v>167</v>
      </c>
      <c r="H9" s="3" t="s">
        <v>29</v>
      </c>
      <c r="I9" s="4" t="s">
        <v>168</v>
      </c>
      <c r="J9" s="2" t="s">
        <v>18</v>
      </c>
      <c r="K9" s="3" t="s">
        <v>169</v>
      </c>
      <c r="L9" s="3" t="s">
        <v>170</v>
      </c>
      <c r="M9" s="15">
        <v>46217</v>
      </c>
      <c r="N9" s="16" t="str">
        <f>IFERROR(VLOOKUP(A9,[1]Hoja1!$A$2:$J$68,10,FALSE), " - ")</f>
        <v xml:space="preserve"> - </v>
      </c>
    </row>
    <row r="10" spans="1:14" x14ac:dyDescent="0.3">
      <c r="A10" s="5">
        <v>34877</v>
      </c>
      <c r="B10" s="5" t="s">
        <v>12</v>
      </c>
      <c r="C10" s="6" t="s">
        <v>13</v>
      </c>
      <c r="D10" s="5" t="s">
        <v>26</v>
      </c>
      <c r="E10" s="13">
        <v>46173</v>
      </c>
      <c r="F10" s="9"/>
      <c r="G10" s="6" t="s">
        <v>252</v>
      </c>
      <c r="H10" s="6" t="s">
        <v>253</v>
      </c>
      <c r="I10" s="7" t="s">
        <v>294</v>
      </c>
      <c r="J10" s="5" t="s">
        <v>18</v>
      </c>
      <c r="K10" s="6" t="s">
        <v>31</v>
      </c>
      <c r="L10" s="6" t="s">
        <v>32</v>
      </c>
      <c r="M10" s="15">
        <v>46217</v>
      </c>
      <c r="N10" s="16" t="str">
        <f>IFERROR(VLOOKUP(A10,[1]Hoja1!$A$2:$J$68,10,FALSE), " - ")</f>
        <v xml:space="preserve"> - </v>
      </c>
    </row>
    <row r="11" spans="1:14" x14ac:dyDescent="0.3">
      <c r="A11" s="5">
        <v>34895</v>
      </c>
      <c r="B11" s="5" t="s">
        <v>12</v>
      </c>
      <c r="C11" s="6" t="s">
        <v>13</v>
      </c>
      <c r="D11" s="5" t="s">
        <v>26</v>
      </c>
      <c r="E11" s="13">
        <v>46173</v>
      </c>
      <c r="F11" s="5" t="s">
        <v>27</v>
      </c>
      <c r="G11" s="6" t="s">
        <v>597</v>
      </c>
      <c r="H11" s="6" t="s">
        <v>189</v>
      </c>
      <c r="I11" s="7" t="s">
        <v>598</v>
      </c>
      <c r="J11" s="5" t="s">
        <v>18</v>
      </c>
      <c r="K11" s="6" t="s">
        <v>31</v>
      </c>
      <c r="L11" s="6" t="s">
        <v>32</v>
      </c>
      <c r="M11" s="15">
        <v>46217</v>
      </c>
      <c r="N11" s="16" t="str">
        <f>IFERROR(VLOOKUP(A11,[1]Hoja1!$A$2:$J$68,10,FALSE), " - ")</f>
        <v xml:space="preserve"> - </v>
      </c>
    </row>
    <row r="12" spans="1:14" x14ac:dyDescent="0.3">
      <c r="A12" s="2">
        <v>34895</v>
      </c>
      <c r="B12" s="2" t="s">
        <v>12</v>
      </c>
      <c r="C12" s="3" t="s">
        <v>13</v>
      </c>
      <c r="D12" s="2" t="s">
        <v>26</v>
      </c>
      <c r="E12" s="12">
        <v>46173</v>
      </c>
      <c r="F12" s="2" t="s">
        <v>27</v>
      </c>
      <c r="G12" s="3" t="s">
        <v>597</v>
      </c>
      <c r="H12" s="3" t="s">
        <v>189</v>
      </c>
      <c r="I12" s="7" t="s">
        <v>649</v>
      </c>
      <c r="J12" s="2" t="s">
        <v>18</v>
      </c>
      <c r="K12" s="3" t="s">
        <v>31</v>
      </c>
      <c r="L12" s="3" t="s">
        <v>32</v>
      </c>
      <c r="M12" s="15">
        <v>46217</v>
      </c>
      <c r="N12" s="16" t="str">
        <f>IFERROR(VLOOKUP(A12,[1]Hoja1!$A$2:$J$68,10,FALSE), " - ")</f>
        <v xml:space="preserve"> - </v>
      </c>
    </row>
    <row r="13" spans="1:14" x14ac:dyDescent="0.3">
      <c r="A13" s="2">
        <v>34899</v>
      </c>
      <c r="B13" s="2" t="s">
        <v>12</v>
      </c>
      <c r="C13" s="3" t="s">
        <v>13</v>
      </c>
      <c r="D13" s="2" t="s">
        <v>26</v>
      </c>
      <c r="E13" s="12">
        <v>46173</v>
      </c>
      <c r="F13" s="2" t="s">
        <v>27</v>
      </c>
      <c r="G13" s="3" t="s">
        <v>295</v>
      </c>
      <c r="H13" s="3" t="s">
        <v>29</v>
      </c>
      <c r="I13" s="4" t="s">
        <v>296</v>
      </c>
      <c r="J13" s="2" t="s">
        <v>18</v>
      </c>
      <c r="K13" s="3" t="s">
        <v>35</v>
      </c>
      <c r="L13" s="3" t="s">
        <v>297</v>
      </c>
      <c r="M13" s="15">
        <v>46217</v>
      </c>
      <c r="N13" s="16" t="str">
        <f>IFERROR(VLOOKUP(A13,[1]Hoja1!$A$2:$J$68,10,FALSE), " - ")</f>
        <v xml:space="preserve"> - </v>
      </c>
    </row>
    <row r="14" spans="1:14" x14ac:dyDescent="0.3">
      <c r="A14" s="5">
        <v>34900</v>
      </c>
      <c r="B14" s="5" t="s">
        <v>12</v>
      </c>
      <c r="C14" s="6" t="s">
        <v>80</v>
      </c>
      <c r="D14" s="5" t="s">
        <v>26</v>
      </c>
      <c r="E14" s="13">
        <v>46173</v>
      </c>
      <c r="F14" s="5" t="s">
        <v>27</v>
      </c>
      <c r="G14" s="6" t="s">
        <v>789</v>
      </c>
      <c r="H14" s="6" t="s">
        <v>177</v>
      </c>
      <c r="I14" s="4" t="s">
        <v>790</v>
      </c>
      <c r="J14" s="5" t="s">
        <v>18</v>
      </c>
      <c r="K14" s="6" t="s">
        <v>107</v>
      </c>
      <c r="L14" s="6" t="s">
        <v>791</v>
      </c>
      <c r="M14" s="15">
        <v>46217</v>
      </c>
      <c r="N14" s="16" t="str">
        <f>IFERROR(VLOOKUP(A14,[1]Hoja1!$A$2:$J$68,10,FALSE), " - ")</f>
        <v xml:space="preserve"> - </v>
      </c>
    </row>
    <row r="15" spans="1:14" x14ac:dyDescent="0.3">
      <c r="A15" s="5">
        <v>34902</v>
      </c>
      <c r="B15" s="5" t="s">
        <v>12</v>
      </c>
      <c r="C15" s="6" t="s">
        <v>80</v>
      </c>
      <c r="D15" s="5" t="s">
        <v>26</v>
      </c>
      <c r="E15" s="13">
        <v>46173</v>
      </c>
      <c r="F15" s="5" t="s">
        <v>27</v>
      </c>
      <c r="G15" s="6" t="s">
        <v>171</v>
      </c>
      <c r="H15" s="6" t="s">
        <v>137</v>
      </c>
      <c r="I15" s="4" t="s">
        <v>172</v>
      </c>
      <c r="J15" s="5" t="s">
        <v>18</v>
      </c>
      <c r="K15" s="6" t="s">
        <v>35</v>
      </c>
      <c r="L15" s="6" t="s">
        <v>173</v>
      </c>
      <c r="M15" s="15">
        <v>46217</v>
      </c>
      <c r="N15" s="16" t="str">
        <f>IFERROR(VLOOKUP(A15,[1]Hoja1!$A$2:$J$68,10,FALSE), " - ")</f>
        <v xml:space="preserve"> - </v>
      </c>
    </row>
    <row r="16" spans="1:14" x14ac:dyDescent="0.3">
      <c r="A16" s="5">
        <v>35047</v>
      </c>
      <c r="B16" s="5" t="s">
        <v>12</v>
      </c>
      <c r="C16" s="6" t="s">
        <v>13</v>
      </c>
      <c r="D16" s="5" t="s">
        <v>26</v>
      </c>
      <c r="E16" s="13">
        <v>46173</v>
      </c>
      <c r="F16" s="5" t="s">
        <v>27</v>
      </c>
      <c r="G16" s="6" t="s">
        <v>223</v>
      </c>
      <c r="H16" s="6" t="s">
        <v>224</v>
      </c>
      <c r="I16" s="7" t="s">
        <v>307</v>
      </c>
      <c r="J16" s="5" t="s">
        <v>18</v>
      </c>
      <c r="K16" s="6" t="s">
        <v>31</v>
      </c>
      <c r="L16" s="6" t="s">
        <v>32</v>
      </c>
      <c r="M16" s="15">
        <v>46217</v>
      </c>
      <c r="N16" s="16" t="str">
        <f>IFERROR(VLOOKUP(A16,[1]Hoja1!$A$2:$J$68,10,FALSE), " - ")</f>
        <v xml:space="preserve"> - </v>
      </c>
    </row>
    <row r="17" spans="1:14" x14ac:dyDescent="0.3">
      <c r="A17" s="5">
        <v>35049</v>
      </c>
      <c r="B17" s="5" t="s">
        <v>62</v>
      </c>
      <c r="C17" s="6" t="s">
        <v>13</v>
      </c>
      <c r="D17" s="5" t="s">
        <v>26</v>
      </c>
      <c r="E17" s="13">
        <v>46173</v>
      </c>
      <c r="F17" s="5" t="s">
        <v>27</v>
      </c>
      <c r="G17" s="6" t="s">
        <v>298</v>
      </c>
      <c r="H17" s="6" t="s">
        <v>29</v>
      </c>
      <c r="I17" s="7" t="s">
        <v>299</v>
      </c>
      <c r="J17" s="5" t="s">
        <v>18</v>
      </c>
      <c r="K17" s="6" t="s">
        <v>31</v>
      </c>
      <c r="L17" s="6" t="s">
        <v>32</v>
      </c>
      <c r="M17" s="15">
        <v>46217</v>
      </c>
      <c r="N17" s="16" t="str">
        <f>IFERROR(VLOOKUP(A17,[1]Hoja1!$A$2:$J$68,10,FALSE), " - ")</f>
        <v xml:space="preserve"> - </v>
      </c>
    </row>
    <row r="18" spans="1:14" x14ac:dyDescent="0.3">
      <c r="A18" s="5">
        <v>35053</v>
      </c>
      <c r="B18" s="5" t="s">
        <v>12</v>
      </c>
      <c r="C18" s="6" t="s">
        <v>13</v>
      </c>
      <c r="D18" s="5" t="s">
        <v>26</v>
      </c>
      <c r="E18" s="13">
        <v>46173</v>
      </c>
      <c r="F18" s="5" t="s">
        <v>27</v>
      </c>
      <c r="G18" s="6" t="s">
        <v>740</v>
      </c>
      <c r="H18" s="6" t="s">
        <v>286</v>
      </c>
      <c r="I18" s="4" t="s">
        <v>610</v>
      </c>
      <c r="J18" s="5" t="s">
        <v>18</v>
      </c>
      <c r="K18" s="6" t="s">
        <v>741</v>
      </c>
      <c r="L18" s="6" t="s">
        <v>742</v>
      </c>
      <c r="M18" s="15">
        <v>46217</v>
      </c>
      <c r="N18" s="16" t="str">
        <f>IFERROR(VLOOKUP(A18,[1]Hoja1!$A$2:$J$68,10,FALSE), " - ")</f>
        <v xml:space="preserve"> - </v>
      </c>
    </row>
    <row r="19" spans="1:14" x14ac:dyDescent="0.3">
      <c r="A19" s="2">
        <v>35058</v>
      </c>
      <c r="B19" s="2" t="s">
        <v>104</v>
      </c>
      <c r="C19" s="3" t="s">
        <v>13</v>
      </c>
      <c r="D19" s="2" t="s">
        <v>26</v>
      </c>
      <c r="E19" s="12">
        <v>46173</v>
      </c>
      <c r="F19" s="2" t="s">
        <v>27</v>
      </c>
      <c r="G19" s="3" t="s">
        <v>845</v>
      </c>
      <c r="H19" s="3" t="s">
        <v>137</v>
      </c>
      <c r="I19" s="4" t="s">
        <v>846</v>
      </c>
      <c r="J19" s="2" t="s">
        <v>18</v>
      </c>
      <c r="K19" s="3" t="s">
        <v>35</v>
      </c>
      <c r="L19" s="3" t="s">
        <v>847</v>
      </c>
      <c r="M19" s="15">
        <v>46217</v>
      </c>
      <c r="N19" s="16" t="str">
        <f>IFERROR(VLOOKUP(A19,[1]Hoja1!$A$2:$J$68,10,FALSE), " - ")</f>
        <v xml:space="preserve"> - </v>
      </c>
    </row>
    <row r="20" spans="1:14" x14ac:dyDescent="0.3">
      <c r="A20" s="2">
        <v>35146</v>
      </c>
      <c r="B20" s="2" t="s">
        <v>33</v>
      </c>
      <c r="C20" s="3" t="s">
        <v>80</v>
      </c>
      <c r="D20" s="2" t="s">
        <v>26</v>
      </c>
      <c r="E20" s="12">
        <v>46173</v>
      </c>
      <c r="F20" s="9"/>
      <c r="G20" s="3" t="s">
        <v>857</v>
      </c>
      <c r="H20" s="3" t="s">
        <v>114</v>
      </c>
      <c r="I20" s="4" t="s">
        <v>138</v>
      </c>
      <c r="J20" s="2" t="s">
        <v>18</v>
      </c>
      <c r="K20" s="3" t="s">
        <v>139</v>
      </c>
      <c r="L20" s="3" t="s">
        <v>858</v>
      </c>
      <c r="M20" s="15">
        <v>46217</v>
      </c>
      <c r="N20" s="16" t="str">
        <f>IFERROR(VLOOKUP(A20,[1]Hoja1!$A$2:$J$68,10,FALSE), " - ")</f>
        <v xml:space="preserve"> - </v>
      </c>
    </row>
    <row r="21" spans="1:14" x14ac:dyDescent="0.3">
      <c r="A21" s="2">
        <v>35063</v>
      </c>
      <c r="B21" s="2" t="s">
        <v>12</v>
      </c>
      <c r="C21" s="3" t="s">
        <v>13</v>
      </c>
      <c r="D21" s="2" t="s">
        <v>26</v>
      </c>
      <c r="E21" s="12">
        <v>46174</v>
      </c>
      <c r="F21" s="2" t="s">
        <v>27</v>
      </c>
      <c r="G21" s="3" t="s">
        <v>41</v>
      </c>
      <c r="H21" s="3" t="s">
        <v>42</v>
      </c>
      <c r="I21" s="4" t="s">
        <v>43</v>
      </c>
      <c r="J21" s="2" t="s">
        <v>18</v>
      </c>
      <c r="K21" s="3" t="s">
        <v>44</v>
      </c>
      <c r="L21" s="3" t="s">
        <v>45</v>
      </c>
      <c r="M21" s="15">
        <v>46217</v>
      </c>
      <c r="N21" s="16" t="str">
        <f>IFERROR(VLOOKUP(A21,[1]Hoja1!$A$2:$J$68,10,FALSE), " - ")</f>
        <v xml:space="preserve"> - </v>
      </c>
    </row>
    <row r="22" spans="1:14" x14ac:dyDescent="0.3">
      <c r="A22" s="5">
        <v>35063</v>
      </c>
      <c r="B22" s="5" t="s">
        <v>12</v>
      </c>
      <c r="C22" s="6" t="s">
        <v>13</v>
      </c>
      <c r="D22" s="5" t="s">
        <v>26</v>
      </c>
      <c r="E22" s="13">
        <v>46174</v>
      </c>
      <c r="F22" s="5" t="s">
        <v>27</v>
      </c>
      <c r="G22" s="6" t="s">
        <v>41</v>
      </c>
      <c r="H22" s="6" t="s">
        <v>42</v>
      </c>
      <c r="I22" s="4" t="s">
        <v>43</v>
      </c>
      <c r="J22" s="5" t="s">
        <v>18</v>
      </c>
      <c r="K22" s="6" t="s">
        <v>44</v>
      </c>
      <c r="L22" s="6" t="s">
        <v>45</v>
      </c>
      <c r="M22" s="15">
        <v>46217</v>
      </c>
      <c r="N22" s="16" t="str">
        <f>IFERROR(VLOOKUP(A22,[1]Hoja1!$A$2:$J$68,10,FALSE), " - ")</f>
        <v xml:space="preserve"> - </v>
      </c>
    </row>
    <row r="23" spans="1:14" x14ac:dyDescent="0.3">
      <c r="A23" s="5">
        <v>35067</v>
      </c>
      <c r="B23" s="5" t="s">
        <v>12</v>
      </c>
      <c r="C23" s="6" t="s">
        <v>13</v>
      </c>
      <c r="D23" s="5" t="s">
        <v>14</v>
      </c>
      <c r="E23" s="13">
        <v>46174</v>
      </c>
      <c r="F23" s="5" t="s">
        <v>15</v>
      </c>
      <c r="G23" s="6" t="s">
        <v>102</v>
      </c>
      <c r="H23" s="6" t="s">
        <v>77</v>
      </c>
      <c r="I23" s="4" t="s">
        <v>869</v>
      </c>
      <c r="J23" s="5" t="s">
        <v>18</v>
      </c>
      <c r="K23" s="6" t="s">
        <v>424</v>
      </c>
      <c r="L23" s="6" t="s">
        <v>870</v>
      </c>
      <c r="M23" s="15">
        <v>46217</v>
      </c>
      <c r="N23" s="16" t="str">
        <f>IFERROR(VLOOKUP(A23,[1]Hoja1!$A$2:$J$68,10,FALSE), " - ")</f>
        <v xml:space="preserve"> - </v>
      </c>
    </row>
    <row r="24" spans="1:14" x14ac:dyDescent="0.3">
      <c r="A24" s="2">
        <v>35067</v>
      </c>
      <c r="B24" s="2" t="s">
        <v>12</v>
      </c>
      <c r="C24" s="3" t="s">
        <v>13</v>
      </c>
      <c r="D24" s="2" t="s">
        <v>14</v>
      </c>
      <c r="E24" s="12">
        <v>46174</v>
      </c>
      <c r="F24" s="2" t="s">
        <v>15</v>
      </c>
      <c r="G24" s="3" t="s">
        <v>102</v>
      </c>
      <c r="H24" s="3" t="s">
        <v>77</v>
      </c>
      <c r="I24" s="4" t="s">
        <v>871</v>
      </c>
      <c r="J24" s="2" t="s">
        <v>18</v>
      </c>
      <c r="K24" s="3" t="s">
        <v>424</v>
      </c>
      <c r="L24" s="3" t="s">
        <v>870</v>
      </c>
      <c r="M24" s="15">
        <v>46217</v>
      </c>
      <c r="N24" s="16" t="str">
        <f>IFERROR(VLOOKUP(A24,[1]Hoja1!$A$2:$J$68,10,FALSE), " - ")</f>
        <v xml:space="preserve"> - </v>
      </c>
    </row>
    <row r="25" spans="1:14" x14ac:dyDescent="0.3">
      <c r="A25" s="5">
        <v>35068</v>
      </c>
      <c r="B25" s="5" t="s">
        <v>33</v>
      </c>
      <c r="C25" s="6" t="s">
        <v>13</v>
      </c>
      <c r="D25" s="5" t="s">
        <v>26</v>
      </c>
      <c r="E25" s="13">
        <v>46174</v>
      </c>
      <c r="F25" s="11" t="s">
        <v>27</v>
      </c>
      <c r="G25" s="6" t="s">
        <v>102</v>
      </c>
      <c r="H25" s="6" t="s">
        <v>77</v>
      </c>
      <c r="I25" s="4" t="s">
        <v>138</v>
      </c>
      <c r="J25" s="5" t="s">
        <v>18</v>
      </c>
      <c r="K25" s="6" t="s">
        <v>139</v>
      </c>
      <c r="L25" s="6" t="s">
        <v>266</v>
      </c>
      <c r="M25" s="15">
        <v>46217</v>
      </c>
      <c r="N25" s="16" t="str">
        <f>IFERROR(VLOOKUP(A25,[1]Hoja1!$A$2:$J$68,10,FALSE), " - ")</f>
        <v xml:space="preserve"> - </v>
      </c>
    </row>
    <row r="26" spans="1:14" x14ac:dyDescent="0.3">
      <c r="A26" s="2">
        <v>35069</v>
      </c>
      <c r="B26" s="2" t="s">
        <v>33</v>
      </c>
      <c r="C26" s="3" t="s">
        <v>13</v>
      </c>
      <c r="D26" s="2" t="s">
        <v>26</v>
      </c>
      <c r="E26" s="12">
        <v>46174</v>
      </c>
      <c r="F26" s="2" t="s">
        <v>27</v>
      </c>
      <c r="G26" s="3" t="s">
        <v>102</v>
      </c>
      <c r="H26" s="3" t="s">
        <v>77</v>
      </c>
      <c r="I26" s="4" t="s">
        <v>34</v>
      </c>
      <c r="J26" s="2" t="s">
        <v>18</v>
      </c>
      <c r="K26" s="3" t="s">
        <v>35</v>
      </c>
      <c r="L26" s="3" t="s">
        <v>103</v>
      </c>
      <c r="M26" s="15">
        <v>46217</v>
      </c>
      <c r="N26" s="16" t="str">
        <f>IFERROR(VLOOKUP(A26,[1]Hoja1!$A$2:$J$68,10,FALSE), " - ")</f>
        <v xml:space="preserve"> - </v>
      </c>
    </row>
    <row r="27" spans="1:14" x14ac:dyDescent="0.3">
      <c r="A27" s="5">
        <v>35084</v>
      </c>
      <c r="B27" s="5" t="s">
        <v>12</v>
      </c>
      <c r="C27" s="6" t="s">
        <v>13</v>
      </c>
      <c r="D27" s="5" t="s">
        <v>26</v>
      </c>
      <c r="E27" s="13">
        <v>46174</v>
      </c>
      <c r="F27" s="5" t="s">
        <v>27</v>
      </c>
      <c r="G27" s="6" t="s">
        <v>81</v>
      </c>
      <c r="H27" s="6" t="s">
        <v>82</v>
      </c>
      <c r="I27" s="4" t="s">
        <v>660</v>
      </c>
      <c r="J27" s="5" t="s">
        <v>18</v>
      </c>
      <c r="K27" s="6" t="s">
        <v>661</v>
      </c>
      <c r="L27" s="6" t="s">
        <v>662</v>
      </c>
      <c r="M27" s="15">
        <v>46217</v>
      </c>
      <c r="N27" s="16" t="str">
        <f>IFERROR(VLOOKUP(A27,[1]Hoja1!$A$2:$J$68,10,FALSE), " - ")</f>
        <v xml:space="preserve"> - </v>
      </c>
    </row>
    <row r="28" spans="1:14" x14ac:dyDescent="0.3">
      <c r="A28" s="5">
        <v>35094</v>
      </c>
      <c r="B28" s="5" t="s">
        <v>62</v>
      </c>
      <c r="C28" s="6" t="s">
        <v>13</v>
      </c>
      <c r="D28" s="5" t="s">
        <v>26</v>
      </c>
      <c r="E28" s="13">
        <v>46174</v>
      </c>
      <c r="F28" s="5" t="s">
        <v>27</v>
      </c>
      <c r="G28" s="6" t="s">
        <v>90</v>
      </c>
      <c r="H28" s="6" t="s">
        <v>91</v>
      </c>
      <c r="I28" s="7" t="s">
        <v>709</v>
      </c>
      <c r="J28" s="5" t="s">
        <v>18</v>
      </c>
      <c r="K28" s="6" t="s">
        <v>31</v>
      </c>
      <c r="L28" s="6" t="s">
        <v>32</v>
      </c>
      <c r="M28" s="15">
        <v>46217</v>
      </c>
      <c r="N28" s="16" t="str">
        <f>IFERROR(VLOOKUP(A28,[1]Hoja1!$A$2:$J$68,10,FALSE), " - ")</f>
        <v xml:space="preserve"> - </v>
      </c>
    </row>
    <row r="29" spans="1:14" x14ac:dyDescent="0.3">
      <c r="A29" s="2">
        <v>35094</v>
      </c>
      <c r="B29" s="2" t="s">
        <v>62</v>
      </c>
      <c r="C29" s="3" t="s">
        <v>13</v>
      </c>
      <c r="D29" s="2" t="s">
        <v>26</v>
      </c>
      <c r="E29" s="12">
        <v>46174</v>
      </c>
      <c r="F29" s="2" t="s">
        <v>27</v>
      </c>
      <c r="G29" s="3" t="s">
        <v>90</v>
      </c>
      <c r="H29" s="3" t="s">
        <v>91</v>
      </c>
      <c r="I29" s="7" t="s">
        <v>808</v>
      </c>
      <c r="J29" s="2" t="s">
        <v>18</v>
      </c>
      <c r="K29" s="3" t="s">
        <v>31</v>
      </c>
      <c r="L29" s="3" t="s">
        <v>32</v>
      </c>
      <c r="M29" s="15">
        <v>46217</v>
      </c>
      <c r="N29" s="16" t="str">
        <f>IFERROR(VLOOKUP(A29,[1]Hoja1!$A$2:$J$68,10,FALSE), " - ")</f>
        <v xml:space="preserve"> - </v>
      </c>
    </row>
    <row r="30" spans="1:14" x14ac:dyDescent="0.3">
      <c r="A30" s="5">
        <v>35103</v>
      </c>
      <c r="B30" s="5" t="s">
        <v>62</v>
      </c>
      <c r="C30" s="6" t="s">
        <v>80</v>
      </c>
      <c r="D30" s="5" t="s">
        <v>26</v>
      </c>
      <c r="E30" s="13">
        <v>46174</v>
      </c>
      <c r="F30" s="5" t="s">
        <v>27</v>
      </c>
      <c r="G30" s="6" t="s">
        <v>872</v>
      </c>
      <c r="H30" s="6" t="s">
        <v>189</v>
      </c>
      <c r="I30" s="7" t="s">
        <v>138</v>
      </c>
      <c r="J30" s="5" t="s">
        <v>18</v>
      </c>
      <c r="K30" s="6" t="s">
        <v>31</v>
      </c>
      <c r="L30" s="6" t="s">
        <v>32</v>
      </c>
      <c r="M30" s="15">
        <v>46217</v>
      </c>
      <c r="N30" s="16" t="str">
        <f>IFERROR(VLOOKUP(A30,[1]Hoja1!$A$2:$J$68,10,FALSE), " - ")</f>
        <v xml:space="preserve"> - </v>
      </c>
    </row>
    <row r="31" spans="1:14" x14ac:dyDescent="0.3">
      <c r="A31" s="5">
        <v>35109</v>
      </c>
      <c r="B31" s="5" t="s">
        <v>33</v>
      </c>
      <c r="C31" s="6" t="s">
        <v>13</v>
      </c>
      <c r="D31" s="5" t="s">
        <v>26</v>
      </c>
      <c r="E31" s="13">
        <v>46174</v>
      </c>
      <c r="F31" s="5" t="s">
        <v>27</v>
      </c>
      <c r="G31" s="6" t="s">
        <v>346</v>
      </c>
      <c r="H31" s="6" t="s">
        <v>189</v>
      </c>
      <c r="I31" s="4" t="s">
        <v>138</v>
      </c>
      <c r="J31" s="5" t="s">
        <v>18</v>
      </c>
      <c r="K31" s="6" t="s">
        <v>139</v>
      </c>
      <c r="L31" s="6" t="s">
        <v>347</v>
      </c>
      <c r="M31" s="15">
        <v>46217</v>
      </c>
      <c r="N31" s="16" t="str">
        <f>IFERROR(VLOOKUP(A31,[1]Hoja1!$A$2:$J$68,10,FALSE), " - ")</f>
        <v xml:space="preserve"> - </v>
      </c>
    </row>
    <row r="32" spans="1:14" x14ac:dyDescent="0.3">
      <c r="A32" s="5">
        <v>35110</v>
      </c>
      <c r="B32" s="5" t="s">
        <v>33</v>
      </c>
      <c r="C32" s="6" t="s">
        <v>13</v>
      </c>
      <c r="D32" s="5" t="s">
        <v>26</v>
      </c>
      <c r="E32" s="13">
        <v>46174</v>
      </c>
      <c r="F32" s="5" t="s">
        <v>27</v>
      </c>
      <c r="G32" s="6" t="s">
        <v>346</v>
      </c>
      <c r="H32" s="6" t="s">
        <v>189</v>
      </c>
      <c r="I32" s="4" t="s">
        <v>34</v>
      </c>
      <c r="J32" s="5" t="s">
        <v>18</v>
      </c>
      <c r="K32" s="6" t="s">
        <v>35</v>
      </c>
      <c r="L32" s="6" t="s">
        <v>36</v>
      </c>
      <c r="M32" s="15">
        <v>46217</v>
      </c>
      <c r="N32" s="16" t="str">
        <f>IFERROR(VLOOKUP(A32,[1]Hoja1!$A$2:$J$68,10,FALSE), " - ")</f>
        <v xml:space="preserve"> - </v>
      </c>
    </row>
    <row r="33" spans="1:14" x14ac:dyDescent="0.3">
      <c r="A33" s="2">
        <v>35116</v>
      </c>
      <c r="B33" s="2" t="s">
        <v>33</v>
      </c>
      <c r="C33" s="3" t="s">
        <v>13</v>
      </c>
      <c r="D33" s="2" t="s">
        <v>26</v>
      </c>
      <c r="E33" s="12">
        <v>46174</v>
      </c>
      <c r="F33" s="2" t="s">
        <v>27</v>
      </c>
      <c r="G33" s="3" t="s">
        <v>229</v>
      </c>
      <c r="H33" s="3" t="s">
        <v>130</v>
      </c>
      <c r="I33" s="4" t="s">
        <v>138</v>
      </c>
      <c r="J33" s="2" t="s">
        <v>18</v>
      </c>
      <c r="K33" s="3" t="s">
        <v>139</v>
      </c>
      <c r="L33" s="3" t="s">
        <v>230</v>
      </c>
      <c r="M33" s="15">
        <v>46217</v>
      </c>
      <c r="N33" s="16" t="str">
        <f>IFERROR(VLOOKUP(A33,[1]Hoja1!$A$2:$J$68,10,FALSE), " - ")</f>
        <v xml:space="preserve"> - </v>
      </c>
    </row>
    <row r="34" spans="1:14" x14ac:dyDescent="0.3">
      <c r="A34" s="2">
        <v>35117</v>
      </c>
      <c r="B34" s="2" t="s">
        <v>33</v>
      </c>
      <c r="C34" s="3" t="s">
        <v>13</v>
      </c>
      <c r="D34" s="2" t="s">
        <v>26</v>
      </c>
      <c r="E34" s="12">
        <v>46174</v>
      </c>
      <c r="F34" s="2" t="s">
        <v>27</v>
      </c>
      <c r="G34" s="3" t="s">
        <v>229</v>
      </c>
      <c r="H34" s="3" t="s">
        <v>130</v>
      </c>
      <c r="I34" s="4" t="s">
        <v>34</v>
      </c>
      <c r="J34" s="2" t="s">
        <v>18</v>
      </c>
      <c r="K34" s="3" t="s">
        <v>35</v>
      </c>
      <c r="L34" s="3" t="s">
        <v>492</v>
      </c>
      <c r="M34" s="15">
        <v>46217</v>
      </c>
      <c r="N34" s="16" t="str">
        <f>IFERROR(VLOOKUP(A34,[1]Hoja1!$A$2:$J$68,10,FALSE), " - ")</f>
        <v xml:space="preserve"> - </v>
      </c>
    </row>
    <row r="35" spans="1:14" x14ac:dyDescent="0.3">
      <c r="A35" s="5">
        <v>35139</v>
      </c>
      <c r="B35" s="5" t="s">
        <v>12</v>
      </c>
      <c r="C35" s="6" t="s">
        <v>63</v>
      </c>
      <c r="D35" s="5" t="s">
        <v>14</v>
      </c>
      <c r="E35" s="13">
        <v>46174</v>
      </c>
      <c r="F35" s="5" t="s">
        <v>15</v>
      </c>
      <c r="G35" s="6" t="s">
        <v>71</v>
      </c>
      <c r="H35" s="6" t="s">
        <v>72</v>
      </c>
      <c r="I35" s="4" t="s">
        <v>73</v>
      </c>
      <c r="J35" s="5" t="s">
        <v>18</v>
      </c>
      <c r="K35" s="6" t="s">
        <v>74</v>
      </c>
      <c r="L35" s="6" t="s">
        <v>75</v>
      </c>
      <c r="M35" s="15">
        <v>46217</v>
      </c>
      <c r="N35" s="16" t="str">
        <f>IFERROR(VLOOKUP(A35,[1]Hoja1!$A$2:$J$68,10,FALSE), " - ")</f>
        <v xml:space="preserve"> - </v>
      </c>
    </row>
    <row r="36" spans="1:14" x14ac:dyDescent="0.3">
      <c r="A36" s="5">
        <v>35139</v>
      </c>
      <c r="B36" s="5" t="s">
        <v>12</v>
      </c>
      <c r="C36" s="6" t="s">
        <v>63</v>
      </c>
      <c r="D36" s="5" t="s">
        <v>14</v>
      </c>
      <c r="E36" s="13">
        <v>46174</v>
      </c>
      <c r="F36" s="5" t="s">
        <v>15</v>
      </c>
      <c r="G36" s="6" t="s">
        <v>71</v>
      </c>
      <c r="H36" s="6" t="s">
        <v>72</v>
      </c>
      <c r="I36" s="4" t="s">
        <v>327</v>
      </c>
      <c r="J36" s="5" t="s">
        <v>18</v>
      </c>
      <c r="K36" s="6" t="s">
        <v>51</v>
      </c>
      <c r="L36" s="6" t="s">
        <v>75</v>
      </c>
      <c r="M36" s="15">
        <v>46217</v>
      </c>
      <c r="N36" s="16" t="str">
        <f>IFERROR(VLOOKUP(A36,[1]Hoja1!$A$2:$J$68,10,FALSE), " - ")</f>
        <v xml:space="preserve"> - </v>
      </c>
    </row>
    <row r="37" spans="1:14" x14ac:dyDescent="0.3">
      <c r="A37" s="5">
        <v>35139</v>
      </c>
      <c r="B37" s="5" t="s">
        <v>12</v>
      </c>
      <c r="C37" s="6" t="s">
        <v>63</v>
      </c>
      <c r="D37" s="5" t="s">
        <v>14</v>
      </c>
      <c r="E37" s="13">
        <v>46174</v>
      </c>
      <c r="F37" s="5" t="s">
        <v>15</v>
      </c>
      <c r="G37" s="6" t="s">
        <v>71</v>
      </c>
      <c r="H37" s="6" t="s">
        <v>72</v>
      </c>
      <c r="I37" s="4" t="s">
        <v>481</v>
      </c>
      <c r="J37" s="5" t="s">
        <v>18</v>
      </c>
      <c r="K37" s="6" t="s">
        <v>51</v>
      </c>
      <c r="L37" s="6" t="s">
        <v>75</v>
      </c>
      <c r="M37" s="15">
        <v>46217</v>
      </c>
      <c r="N37" s="16" t="str">
        <f>IFERROR(VLOOKUP(A37,[1]Hoja1!$A$2:$J$68,10,FALSE), " - ")</f>
        <v xml:space="preserve"> - </v>
      </c>
    </row>
    <row r="38" spans="1:14" x14ac:dyDescent="0.3">
      <c r="A38" s="2">
        <v>35141</v>
      </c>
      <c r="B38" s="2" t="s">
        <v>12</v>
      </c>
      <c r="C38" s="3" t="s">
        <v>63</v>
      </c>
      <c r="D38" s="2" t="s">
        <v>26</v>
      </c>
      <c r="E38" s="12">
        <v>46174</v>
      </c>
      <c r="F38" s="2" t="s">
        <v>27</v>
      </c>
      <c r="G38" s="3" t="s">
        <v>617</v>
      </c>
      <c r="H38" s="3" t="s">
        <v>72</v>
      </c>
      <c r="I38" s="4" t="s">
        <v>408</v>
      </c>
      <c r="J38" s="2" t="s">
        <v>18</v>
      </c>
      <c r="K38" s="3" t="s">
        <v>51</v>
      </c>
      <c r="L38" s="3" t="s">
        <v>409</v>
      </c>
      <c r="M38" s="15">
        <v>46217</v>
      </c>
      <c r="N38" s="16" t="str">
        <f>IFERROR(VLOOKUP(A38,[1]Hoja1!$A$2:$J$68,10,FALSE), " - ")</f>
        <v xml:space="preserve"> - </v>
      </c>
    </row>
    <row r="39" spans="1:14" x14ac:dyDescent="0.3">
      <c r="A39" s="2">
        <v>35141</v>
      </c>
      <c r="B39" s="2" t="s">
        <v>12</v>
      </c>
      <c r="C39" s="3" t="s">
        <v>63</v>
      </c>
      <c r="D39" s="2" t="s">
        <v>26</v>
      </c>
      <c r="E39" s="12">
        <v>46174</v>
      </c>
      <c r="F39" s="2" t="s">
        <v>27</v>
      </c>
      <c r="G39" s="3" t="s">
        <v>617</v>
      </c>
      <c r="H39" s="3" t="s">
        <v>72</v>
      </c>
      <c r="I39" s="4" t="s">
        <v>517</v>
      </c>
      <c r="J39" s="2" t="s">
        <v>18</v>
      </c>
      <c r="K39" s="3" t="s">
        <v>51</v>
      </c>
      <c r="L39" s="3" t="s">
        <v>409</v>
      </c>
      <c r="M39" s="15">
        <v>46217</v>
      </c>
      <c r="N39" s="16" t="str">
        <f>IFERROR(VLOOKUP(A39,[1]Hoja1!$A$2:$J$68,10,FALSE), " - ")</f>
        <v xml:space="preserve"> - </v>
      </c>
    </row>
    <row r="40" spans="1:14" x14ac:dyDescent="0.3">
      <c r="A40" s="2">
        <v>35254</v>
      </c>
      <c r="B40" s="2" t="s">
        <v>12</v>
      </c>
      <c r="C40" s="3" t="s">
        <v>57</v>
      </c>
      <c r="D40" s="2" t="s">
        <v>26</v>
      </c>
      <c r="E40" s="12">
        <v>46174</v>
      </c>
      <c r="F40" s="2" t="s">
        <v>27</v>
      </c>
      <c r="G40" s="3" t="s">
        <v>219</v>
      </c>
      <c r="H40" s="3" t="s">
        <v>189</v>
      </c>
      <c r="I40" s="7" t="s">
        <v>750</v>
      </c>
      <c r="J40" s="2" t="s">
        <v>18</v>
      </c>
      <c r="K40" s="3" t="s">
        <v>31</v>
      </c>
      <c r="L40" s="3" t="s">
        <v>32</v>
      </c>
      <c r="M40" s="15">
        <v>46217</v>
      </c>
      <c r="N40" s="16" t="str">
        <f>IFERROR(VLOOKUP(A40,[1]Hoja1!$A$2:$J$68,10,FALSE), " - ")</f>
        <v xml:space="preserve"> - </v>
      </c>
    </row>
    <row r="41" spans="1:14" x14ac:dyDescent="0.3">
      <c r="A41" s="5">
        <v>35255</v>
      </c>
      <c r="B41" s="5" t="s">
        <v>12</v>
      </c>
      <c r="C41" s="6" t="s">
        <v>57</v>
      </c>
      <c r="D41" s="5" t="s">
        <v>26</v>
      </c>
      <c r="E41" s="13">
        <v>46174</v>
      </c>
      <c r="F41" s="5" t="s">
        <v>27</v>
      </c>
      <c r="G41" s="6" t="s">
        <v>271</v>
      </c>
      <c r="H41" s="6" t="s">
        <v>20</v>
      </c>
      <c r="I41" s="7" t="s">
        <v>272</v>
      </c>
      <c r="J41" s="5" t="s">
        <v>18</v>
      </c>
      <c r="K41" s="6" t="s">
        <v>31</v>
      </c>
      <c r="L41" s="6" t="s">
        <v>32</v>
      </c>
      <c r="M41" s="15">
        <v>46217</v>
      </c>
      <c r="N41" s="16" t="str">
        <f>IFERROR(VLOOKUP(A41,[1]Hoja1!$A$2:$J$68,10,FALSE), " - ")</f>
        <v xml:space="preserve"> - </v>
      </c>
    </row>
    <row r="42" spans="1:14" x14ac:dyDescent="0.3">
      <c r="A42" s="5">
        <v>35268</v>
      </c>
      <c r="B42" s="5" t="s">
        <v>12</v>
      </c>
      <c r="C42" s="6" t="s">
        <v>57</v>
      </c>
      <c r="D42" s="5" t="s">
        <v>26</v>
      </c>
      <c r="E42" s="13">
        <v>46174</v>
      </c>
      <c r="F42" s="5" t="s">
        <v>27</v>
      </c>
      <c r="G42" s="6" t="s">
        <v>524</v>
      </c>
      <c r="H42" s="6" t="s">
        <v>177</v>
      </c>
      <c r="I42" s="7" t="s">
        <v>525</v>
      </c>
      <c r="J42" s="5" t="s">
        <v>18</v>
      </c>
      <c r="K42" s="6" t="s">
        <v>31</v>
      </c>
      <c r="L42" s="6" t="s">
        <v>32</v>
      </c>
      <c r="M42" s="15">
        <v>46217</v>
      </c>
      <c r="N42" s="16" t="str">
        <f>IFERROR(VLOOKUP(A42,[1]Hoja1!$A$2:$J$68,10,FALSE), " - ")</f>
        <v xml:space="preserve"> - </v>
      </c>
    </row>
    <row r="43" spans="1:14" x14ac:dyDescent="0.3">
      <c r="A43" s="5">
        <v>35446</v>
      </c>
      <c r="B43" s="5" t="s">
        <v>12</v>
      </c>
      <c r="C43" s="6" t="s">
        <v>57</v>
      </c>
      <c r="D43" s="5" t="s">
        <v>26</v>
      </c>
      <c r="E43" s="13">
        <v>46174</v>
      </c>
      <c r="F43" s="9"/>
      <c r="G43" s="6" t="s">
        <v>113</v>
      </c>
      <c r="H43" s="6" t="s">
        <v>114</v>
      </c>
      <c r="I43" s="7" t="s">
        <v>115</v>
      </c>
      <c r="J43" s="5" t="s">
        <v>18</v>
      </c>
      <c r="K43" s="6" t="s">
        <v>31</v>
      </c>
      <c r="L43" s="6" t="s">
        <v>32</v>
      </c>
      <c r="M43" s="15">
        <v>46217</v>
      </c>
      <c r="N43" s="16" t="str">
        <f>IFERROR(VLOOKUP(A43,[1]Hoja1!$A$2:$J$68,10,FALSE), " - ")</f>
        <v xml:space="preserve"> - </v>
      </c>
    </row>
    <row r="44" spans="1:14" x14ac:dyDescent="0.3">
      <c r="A44" s="5">
        <v>35124</v>
      </c>
      <c r="B44" s="5" t="s">
        <v>12</v>
      </c>
      <c r="C44" s="6" t="s">
        <v>13</v>
      </c>
      <c r="D44" s="5" t="s">
        <v>26</v>
      </c>
      <c r="E44" s="13">
        <v>46175</v>
      </c>
      <c r="F44" s="5" t="s">
        <v>27</v>
      </c>
      <c r="G44" s="6" t="s">
        <v>300</v>
      </c>
      <c r="H44" s="6" t="s">
        <v>65</v>
      </c>
      <c r="I44" s="4" t="s">
        <v>403</v>
      </c>
      <c r="J44" s="5" t="s">
        <v>18</v>
      </c>
      <c r="K44" s="6" t="s">
        <v>404</v>
      </c>
      <c r="L44" s="6" t="s">
        <v>405</v>
      </c>
      <c r="M44" s="15">
        <v>46217</v>
      </c>
      <c r="N44" s="16" t="str">
        <f>IFERROR(VLOOKUP(A44,[1]Hoja1!$A$2:$J$68,10,FALSE), " - ")</f>
        <v xml:space="preserve"> - </v>
      </c>
    </row>
    <row r="45" spans="1:14" x14ac:dyDescent="0.3">
      <c r="A45" s="5">
        <v>35126</v>
      </c>
      <c r="B45" s="5" t="s">
        <v>12</v>
      </c>
      <c r="C45" s="6" t="s">
        <v>13</v>
      </c>
      <c r="D45" s="5" t="s">
        <v>26</v>
      </c>
      <c r="E45" s="13">
        <v>46175</v>
      </c>
      <c r="F45" s="5" t="s">
        <v>27</v>
      </c>
      <c r="G45" s="6" t="s">
        <v>231</v>
      </c>
      <c r="H45" s="6" t="s">
        <v>137</v>
      </c>
      <c r="I45" s="4" t="s">
        <v>232</v>
      </c>
      <c r="J45" s="5" t="s">
        <v>18</v>
      </c>
      <c r="K45" s="6" t="s">
        <v>35</v>
      </c>
      <c r="L45" s="6" t="s">
        <v>233</v>
      </c>
      <c r="M45" s="15">
        <v>46217</v>
      </c>
      <c r="N45" s="16" t="str">
        <f>IFERROR(VLOOKUP(A45,[1]Hoja1!$A$2:$J$68,10,FALSE), " - ")</f>
        <v xml:space="preserve"> - </v>
      </c>
    </row>
    <row r="46" spans="1:14" x14ac:dyDescent="0.3">
      <c r="A46" s="2">
        <v>35126</v>
      </c>
      <c r="B46" s="2" t="s">
        <v>12</v>
      </c>
      <c r="C46" s="3" t="s">
        <v>13</v>
      </c>
      <c r="D46" s="2" t="s">
        <v>26</v>
      </c>
      <c r="E46" s="12">
        <v>46175</v>
      </c>
      <c r="F46" s="2" t="s">
        <v>27</v>
      </c>
      <c r="G46" s="3" t="s">
        <v>231</v>
      </c>
      <c r="H46" s="3" t="s">
        <v>137</v>
      </c>
      <c r="I46" s="4" t="s">
        <v>623</v>
      </c>
      <c r="J46" s="2" t="s">
        <v>18</v>
      </c>
      <c r="K46" s="3" t="s">
        <v>624</v>
      </c>
      <c r="L46" s="3" t="s">
        <v>233</v>
      </c>
      <c r="M46" s="15">
        <v>46217</v>
      </c>
      <c r="N46" s="16" t="str">
        <f>IFERROR(VLOOKUP(A46,[1]Hoja1!$A$2:$J$68,10,FALSE), " - ")</f>
        <v xml:space="preserve"> - </v>
      </c>
    </row>
    <row r="47" spans="1:14" x14ac:dyDescent="0.3">
      <c r="A47" s="5">
        <v>35127</v>
      </c>
      <c r="B47" s="5" t="s">
        <v>104</v>
      </c>
      <c r="C47" s="6" t="s">
        <v>13</v>
      </c>
      <c r="D47" s="5" t="s">
        <v>26</v>
      </c>
      <c r="E47" s="13">
        <v>46175</v>
      </c>
      <c r="F47" s="5" t="s">
        <v>27</v>
      </c>
      <c r="G47" s="6" t="s">
        <v>105</v>
      </c>
      <c r="H47" s="6" t="s">
        <v>17</v>
      </c>
      <c r="I47" s="4" t="s">
        <v>106</v>
      </c>
      <c r="J47" s="5" t="s">
        <v>18</v>
      </c>
      <c r="K47" s="6" t="s">
        <v>107</v>
      </c>
      <c r="L47" s="6" t="s">
        <v>108</v>
      </c>
      <c r="M47" s="15">
        <v>46217</v>
      </c>
      <c r="N47" s="16" t="str">
        <f>IFERROR(VLOOKUP(A47,[1]Hoja1!$A$2:$J$68,10,FALSE), " - ")</f>
        <v xml:space="preserve"> - </v>
      </c>
    </row>
    <row r="48" spans="1:14" x14ac:dyDescent="0.3">
      <c r="A48" s="5">
        <v>35137</v>
      </c>
      <c r="B48" s="5" t="s">
        <v>12</v>
      </c>
      <c r="C48" s="6" t="s">
        <v>13</v>
      </c>
      <c r="D48" s="5" t="s">
        <v>26</v>
      </c>
      <c r="E48" s="13">
        <v>46175</v>
      </c>
      <c r="F48" s="5" t="s">
        <v>27</v>
      </c>
      <c r="G48" s="6" t="s">
        <v>614</v>
      </c>
      <c r="H48" s="6" t="s">
        <v>29</v>
      </c>
      <c r="I48" s="4" t="s">
        <v>615</v>
      </c>
      <c r="J48" s="5" t="s">
        <v>18</v>
      </c>
      <c r="K48" s="6" t="s">
        <v>35</v>
      </c>
      <c r="L48" s="6" t="s">
        <v>616</v>
      </c>
      <c r="M48" s="15">
        <v>46217</v>
      </c>
      <c r="N48" s="16" t="str">
        <f>IFERROR(VLOOKUP(A48,[1]Hoja1!$A$2:$J$68,10,FALSE), " - ")</f>
        <v xml:space="preserve"> - </v>
      </c>
    </row>
    <row r="49" spans="1:14" x14ac:dyDescent="0.3">
      <c r="A49" s="5">
        <v>35154</v>
      </c>
      <c r="B49" s="5" t="s">
        <v>33</v>
      </c>
      <c r="C49" s="6" t="s">
        <v>13</v>
      </c>
      <c r="D49" s="5" t="s">
        <v>26</v>
      </c>
      <c r="E49" s="13">
        <v>46175</v>
      </c>
      <c r="F49" s="5" t="s">
        <v>27</v>
      </c>
      <c r="G49" s="6" t="s">
        <v>19</v>
      </c>
      <c r="H49" s="6" t="s">
        <v>20</v>
      </c>
      <c r="I49" s="4" t="s">
        <v>138</v>
      </c>
      <c r="J49" s="5" t="s">
        <v>18</v>
      </c>
      <c r="K49" s="6" t="s">
        <v>139</v>
      </c>
      <c r="L49" s="6" t="s">
        <v>255</v>
      </c>
      <c r="M49" s="15">
        <v>46217</v>
      </c>
      <c r="N49" s="16" t="str">
        <f>IFERROR(VLOOKUP(A49,[1]Hoja1!$A$2:$J$68,10,FALSE), " - ")</f>
        <v xml:space="preserve"> - </v>
      </c>
    </row>
    <row r="50" spans="1:14" x14ac:dyDescent="0.3">
      <c r="A50" s="2">
        <v>35155</v>
      </c>
      <c r="B50" s="2" t="s">
        <v>33</v>
      </c>
      <c r="C50" s="3" t="s">
        <v>13</v>
      </c>
      <c r="D50" s="2" t="s">
        <v>26</v>
      </c>
      <c r="E50" s="12">
        <v>46175</v>
      </c>
      <c r="F50" s="2" t="s">
        <v>27</v>
      </c>
      <c r="G50" s="3" t="s">
        <v>19</v>
      </c>
      <c r="H50" s="3" t="s">
        <v>20</v>
      </c>
      <c r="I50" s="4" t="s">
        <v>34</v>
      </c>
      <c r="J50" s="2" t="s">
        <v>18</v>
      </c>
      <c r="K50" s="3" t="s">
        <v>35</v>
      </c>
      <c r="L50" s="3" t="s">
        <v>349</v>
      </c>
      <c r="M50" s="15">
        <v>46217</v>
      </c>
      <c r="N50" s="16" t="str">
        <f>IFERROR(VLOOKUP(A50,[1]Hoja1!$A$2:$J$68,10,FALSE), " - ")</f>
        <v xml:space="preserve"> - </v>
      </c>
    </row>
    <row r="51" spans="1:14" x14ac:dyDescent="0.3">
      <c r="A51" s="5">
        <v>35157</v>
      </c>
      <c r="B51" s="5" t="s">
        <v>12</v>
      </c>
      <c r="C51" s="6" t="s">
        <v>13</v>
      </c>
      <c r="D51" s="5" t="s">
        <v>26</v>
      </c>
      <c r="E51" s="13">
        <v>46175</v>
      </c>
      <c r="F51" s="5" t="s">
        <v>27</v>
      </c>
      <c r="G51" s="6" t="s">
        <v>627</v>
      </c>
      <c r="H51" s="6" t="s">
        <v>177</v>
      </c>
      <c r="I51" s="4" t="s">
        <v>649</v>
      </c>
      <c r="J51" s="5" t="s">
        <v>18</v>
      </c>
      <c r="K51" s="6" t="s">
        <v>650</v>
      </c>
      <c r="L51" s="6" t="s">
        <v>651</v>
      </c>
      <c r="M51" s="15">
        <v>46217</v>
      </c>
      <c r="N51" s="16" t="str">
        <f>IFERROR(VLOOKUP(A51,[1]Hoja1!$A$2:$J$68,10,FALSE), " - ")</f>
        <v xml:space="preserve"> - </v>
      </c>
    </row>
    <row r="52" spans="1:14" x14ac:dyDescent="0.3">
      <c r="A52" s="2">
        <v>35160</v>
      </c>
      <c r="B52" s="2" t="s">
        <v>33</v>
      </c>
      <c r="C52" s="3" t="s">
        <v>13</v>
      </c>
      <c r="D52" s="2" t="s">
        <v>26</v>
      </c>
      <c r="E52" s="12">
        <v>46175</v>
      </c>
      <c r="F52" s="2" t="s">
        <v>27</v>
      </c>
      <c r="G52" s="3" t="s">
        <v>328</v>
      </c>
      <c r="H52" s="3" t="s">
        <v>20</v>
      </c>
      <c r="I52" s="4" t="s">
        <v>138</v>
      </c>
      <c r="J52" s="2" t="s">
        <v>18</v>
      </c>
      <c r="K52" s="3" t="s">
        <v>139</v>
      </c>
      <c r="L52" s="3" t="s">
        <v>255</v>
      </c>
      <c r="M52" s="15">
        <v>46217</v>
      </c>
      <c r="N52" s="16" t="str">
        <f>IFERROR(VLOOKUP(A52,[1]Hoja1!$A$2:$J$68,10,FALSE), " - ")</f>
        <v xml:space="preserve"> - </v>
      </c>
    </row>
    <row r="53" spans="1:14" x14ac:dyDescent="0.3">
      <c r="A53" s="5">
        <v>35161</v>
      </c>
      <c r="B53" s="5" t="s">
        <v>33</v>
      </c>
      <c r="C53" s="6" t="s">
        <v>13</v>
      </c>
      <c r="D53" s="5" t="s">
        <v>26</v>
      </c>
      <c r="E53" s="13">
        <v>46175</v>
      </c>
      <c r="F53" s="5" t="s">
        <v>27</v>
      </c>
      <c r="G53" s="6" t="s">
        <v>328</v>
      </c>
      <c r="H53" s="6" t="s">
        <v>20</v>
      </c>
      <c r="I53" s="4" t="s">
        <v>34</v>
      </c>
      <c r="J53" s="5" t="s">
        <v>18</v>
      </c>
      <c r="K53" s="6" t="s">
        <v>35</v>
      </c>
      <c r="L53" s="6" t="s">
        <v>364</v>
      </c>
      <c r="M53" s="15">
        <v>46217</v>
      </c>
      <c r="N53" s="16" t="str">
        <f>IFERROR(VLOOKUP(A53,[1]Hoja1!$A$2:$J$68,10,FALSE), " - ")</f>
        <v xml:space="preserve"> - </v>
      </c>
    </row>
    <row r="54" spans="1:14" x14ac:dyDescent="0.3">
      <c r="A54" s="5">
        <v>35163</v>
      </c>
      <c r="B54" s="5" t="s">
        <v>62</v>
      </c>
      <c r="C54" s="6" t="s">
        <v>13</v>
      </c>
      <c r="D54" s="5" t="s">
        <v>26</v>
      </c>
      <c r="E54" s="13">
        <v>46175</v>
      </c>
      <c r="F54" s="5" t="s">
        <v>27</v>
      </c>
      <c r="G54" s="6" t="s">
        <v>132</v>
      </c>
      <c r="H54" s="6" t="s">
        <v>130</v>
      </c>
      <c r="I54" s="7" t="s">
        <v>121</v>
      </c>
      <c r="J54" s="5" t="s">
        <v>18</v>
      </c>
      <c r="K54" s="6" t="s">
        <v>31</v>
      </c>
      <c r="L54" s="6" t="s">
        <v>32</v>
      </c>
      <c r="M54" s="15">
        <v>46217</v>
      </c>
      <c r="N54" s="16" t="str">
        <f>IFERROR(VLOOKUP(A54,[1]Hoja1!$A$2:$J$68,10,FALSE), " - ")</f>
        <v xml:space="preserve"> - </v>
      </c>
    </row>
    <row r="55" spans="1:14" x14ac:dyDescent="0.3">
      <c r="A55" s="2">
        <v>35258</v>
      </c>
      <c r="B55" s="2" t="s">
        <v>12</v>
      </c>
      <c r="C55" s="3" t="s">
        <v>57</v>
      </c>
      <c r="D55" s="2" t="s">
        <v>26</v>
      </c>
      <c r="E55" s="12">
        <v>46175</v>
      </c>
      <c r="F55" s="2" t="s">
        <v>27</v>
      </c>
      <c r="G55" s="3" t="s">
        <v>452</v>
      </c>
      <c r="H55" s="3" t="s">
        <v>17</v>
      </c>
      <c r="I55" s="4" t="s">
        <v>153</v>
      </c>
      <c r="J55" s="2" t="s">
        <v>18</v>
      </c>
      <c r="K55" s="3" t="s">
        <v>35</v>
      </c>
      <c r="L55" s="3" t="s">
        <v>453</v>
      </c>
      <c r="M55" s="15">
        <v>46217</v>
      </c>
      <c r="N55" s="16" t="str">
        <f>IFERROR(VLOOKUP(A55,[1]Hoja1!$A$2:$J$68,10,FALSE), " - ")</f>
        <v xml:space="preserve"> - </v>
      </c>
    </row>
    <row r="56" spans="1:14" x14ac:dyDescent="0.3">
      <c r="A56" s="2">
        <v>35259</v>
      </c>
      <c r="B56" s="2" t="s">
        <v>12</v>
      </c>
      <c r="C56" s="3" t="s">
        <v>57</v>
      </c>
      <c r="D56" s="2" t="s">
        <v>26</v>
      </c>
      <c r="E56" s="12">
        <v>46175</v>
      </c>
      <c r="F56" s="2" t="s">
        <v>27</v>
      </c>
      <c r="G56" s="3" t="s">
        <v>147</v>
      </c>
      <c r="H56" s="3" t="s">
        <v>130</v>
      </c>
      <c r="I56" s="7" t="s">
        <v>148</v>
      </c>
      <c r="J56" s="2" t="s">
        <v>18</v>
      </c>
      <c r="K56" s="3" t="s">
        <v>31</v>
      </c>
      <c r="L56" s="3" t="s">
        <v>32</v>
      </c>
      <c r="M56" s="15">
        <v>46217</v>
      </c>
      <c r="N56" s="16" t="str">
        <f>IFERROR(VLOOKUP(A56,[1]Hoja1!$A$2:$J$68,10,FALSE), " - ")</f>
        <v xml:space="preserve"> - </v>
      </c>
    </row>
    <row r="57" spans="1:14" x14ac:dyDescent="0.3">
      <c r="A57" s="5">
        <v>35379</v>
      </c>
      <c r="B57" s="5" t="s">
        <v>12</v>
      </c>
      <c r="C57" s="6" t="s">
        <v>57</v>
      </c>
      <c r="D57" s="5" t="s">
        <v>26</v>
      </c>
      <c r="E57" s="13">
        <v>46175</v>
      </c>
      <c r="F57" s="5" t="s">
        <v>27</v>
      </c>
      <c r="G57" s="6" t="s">
        <v>236</v>
      </c>
      <c r="H57" s="6" t="s">
        <v>237</v>
      </c>
      <c r="I57" s="4" t="s">
        <v>238</v>
      </c>
      <c r="J57" s="5" t="s">
        <v>18</v>
      </c>
      <c r="K57" s="6" t="s">
        <v>239</v>
      </c>
      <c r="L57" s="6" t="s">
        <v>240</v>
      </c>
      <c r="M57" s="15">
        <v>46217</v>
      </c>
      <c r="N57" s="16" t="str">
        <f>IFERROR(VLOOKUP(A57,[1]Hoja1!$A$2:$J$68,10,FALSE), " - ")</f>
        <v xml:space="preserve"> - </v>
      </c>
    </row>
    <row r="58" spans="1:14" x14ac:dyDescent="0.3">
      <c r="A58" s="2">
        <v>35416</v>
      </c>
      <c r="B58" s="2" t="s">
        <v>12</v>
      </c>
      <c r="C58" s="3" t="s">
        <v>63</v>
      </c>
      <c r="D58" s="2" t="s">
        <v>26</v>
      </c>
      <c r="E58" s="12">
        <v>46175</v>
      </c>
      <c r="F58" s="2" t="s">
        <v>27</v>
      </c>
      <c r="G58" s="3" t="s">
        <v>500</v>
      </c>
      <c r="H58" s="3" t="s">
        <v>501</v>
      </c>
      <c r="I58" s="4" t="s">
        <v>484</v>
      </c>
      <c r="J58" s="2" t="s">
        <v>18</v>
      </c>
      <c r="K58" s="3" t="s">
        <v>485</v>
      </c>
      <c r="L58" s="3" t="s">
        <v>502</v>
      </c>
      <c r="M58" s="15">
        <v>46217</v>
      </c>
      <c r="N58" s="16" t="str">
        <f>IFERROR(VLOOKUP(A58,[1]Hoja1!$A$2:$J$68,10,FALSE), " - ")</f>
        <v xml:space="preserve"> - </v>
      </c>
    </row>
    <row r="59" spans="1:14" x14ac:dyDescent="0.3">
      <c r="A59" s="5">
        <v>35173</v>
      </c>
      <c r="B59" s="5" t="s">
        <v>12</v>
      </c>
      <c r="C59" s="6" t="s">
        <v>13</v>
      </c>
      <c r="D59" s="5" t="s">
        <v>26</v>
      </c>
      <c r="E59" s="13">
        <v>46176</v>
      </c>
      <c r="F59" s="5" t="s">
        <v>27</v>
      </c>
      <c r="G59" s="6" t="s">
        <v>205</v>
      </c>
      <c r="H59" s="6" t="s">
        <v>47</v>
      </c>
      <c r="I59" s="4" t="s">
        <v>206</v>
      </c>
      <c r="J59" s="5" t="s">
        <v>18</v>
      </c>
      <c r="K59" s="6" t="s">
        <v>207</v>
      </c>
      <c r="L59" s="6" t="s">
        <v>208</v>
      </c>
      <c r="M59" s="15">
        <v>46217</v>
      </c>
      <c r="N59" s="16" t="str">
        <f>IFERROR(VLOOKUP(A59,[1]Hoja1!$A$2:$J$68,10,FALSE), " - ")</f>
        <v xml:space="preserve"> - </v>
      </c>
    </row>
    <row r="60" spans="1:14" x14ac:dyDescent="0.3">
      <c r="A60" s="5">
        <v>35175</v>
      </c>
      <c r="B60" s="5" t="s">
        <v>12</v>
      </c>
      <c r="C60" s="6" t="s">
        <v>13</v>
      </c>
      <c r="D60" s="5" t="s">
        <v>26</v>
      </c>
      <c r="E60" s="13">
        <v>46176</v>
      </c>
      <c r="F60" s="5" t="s">
        <v>27</v>
      </c>
      <c r="G60" s="6" t="s">
        <v>120</v>
      </c>
      <c r="H60" s="6" t="s">
        <v>42</v>
      </c>
      <c r="I60" s="7" t="s">
        <v>451</v>
      </c>
      <c r="J60" s="5" t="s">
        <v>18</v>
      </c>
      <c r="K60" s="6" t="s">
        <v>31</v>
      </c>
      <c r="L60" s="6" t="s">
        <v>32</v>
      </c>
      <c r="M60" s="15">
        <v>46217</v>
      </c>
      <c r="N60" s="16" t="str">
        <f>IFERROR(VLOOKUP(A60,[1]Hoja1!$A$2:$J$68,10,FALSE), " - ")</f>
        <v xml:space="preserve"> - </v>
      </c>
    </row>
    <row r="61" spans="1:14" x14ac:dyDescent="0.3">
      <c r="A61" s="5">
        <v>35177</v>
      </c>
      <c r="B61" s="5" t="s">
        <v>12</v>
      </c>
      <c r="C61" s="6" t="s">
        <v>13</v>
      </c>
      <c r="D61" s="5" t="s">
        <v>26</v>
      </c>
      <c r="E61" s="13">
        <v>46176</v>
      </c>
      <c r="F61" s="5" t="s">
        <v>27</v>
      </c>
      <c r="G61" s="6" t="s">
        <v>373</v>
      </c>
      <c r="H61" s="6" t="s">
        <v>29</v>
      </c>
      <c r="I61" s="4" t="s">
        <v>521</v>
      </c>
      <c r="J61" s="5" t="s">
        <v>18</v>
      </c>
      <c r="K61" s="6" t="s">
        <v>305</v>
      </c>
      <c r="L61" s="6" t="s">
        <v>522</v>
      </c>
      <c r="M61" s="15">
        <v>46217</v>
      </c>
      <c r="N61" s="16" t="str">
        <f>IFERROR(VLOOKUP(A61,[1]Hoja1!$A$2:$J$68,10,FALSE), " - ")</f>
        <v xml:space="preserve"> - </v>
      </c>
    </row>
    <row r="62" spans="1:14" x14ac:dyDescent="0.3">
      <c r="A62" s="5">
        <v>35177</v>
      </c>
      <c r="B62" s="5" t="s">
        <v>12</v>
      </c>
      <c r="C62" s="6" t="s">
        <v>13</v>
      </c>
      <c r="D62" s="5" t="s">
        <v>26</v>
      </c>
      <c r="E62" s="13">
        <v>46176</v>
      </c>
      <c r="F62" s="5" t="s">
        <v>27</v>
      </c>
      <c r="G62" s="6" t="s">
        <v>373</v>
      </c>
      <c r="H62" s="6" t="s">
        <v>29</v>
      </c>
      <c r="I62" s="4" t="s">
        <v>216</v>
      </c>
      <c r="J62" s="5" t="s">
        <v>18</v>
      </c>
      <c r="K62" s="6" t="s">
        <v>35</v>
      </c>
      <c r="L62" s="6" t="s">
        <v>522</v>
      </c>
      <c r="M62" s="15">
        <v>46217</v>
      </c>
      <c r="N62" s="16" t="str">
        <f>IFERROR(VLOOKUP(A62,[1]Hoja1!$A$2:$J$68,10,FALSE), " - ")</f>
        <v xml:space="preserve"> - </v>
      </c>
    </row>
    <row r="63" spans="1:14" x14ac:dyDescent="0.3">
      <c r="A63" s="2">
        <v>35183</v>
      </c>
      <c r="B63" s="2" t="s">
        <v>33</v>
      </c>
      <c r="C63" s="3" t="s">
        <v>13</v>
      </c>
      <c r="D63" s="2" t="s">
        <v>26</v>
      </c>
      <c r="E63" s="12">
        <v>46176</v>
      </c>
      <c r="F63" s="2" t="s">
        <v>27</v>
      </c>
      <c r="G63" s="3" t="s">
        <v>290</v>
      </c>
      <c r="H63" s="3" t="s">
        <v>137</v>
      </c>
      <c r="I63" s="4" t="s">
        <v>138</v>
      </c>
      <c r="J63" s="2" t="s">
        <v>18</v>
      </c>
      <c r="K63" s="3" t="s">
        <v>139</v>
      </c>
      <c r="L63" s="3" t="s">
        <v>266</v>
      </c>
      <c r="M63" s="15">
        <v>46217</v>
      </c>
      <c r="N63" s="16" t="str">
        <f>IFERROR(VLOOKUP(A63,[1]Hoja1!$A$2:$J$68,10,FALSE), " - ")</f>
        <v xml:space="preserve"> - </v>
      </c>
    </row>
    <row r="64" spans="1:14" x14ac:dyDescent="0.3">
      <c r="A64" s="2">
        <v>35184</v>
      </c>
      <c r="B64" s="2" t="s">
        <v>33</v>
      </c>
      <c r="C64" s="3" t="s">
        <v>13</v>
      </c>
      <c r="D64" s="2" t="s">
        <v>26</v>
      </c>
      <c r="E64" s="12">
        <v>46176</v>
      </c>
      <c r="F64" s="2" t="s">
        <v>27</v>
      </c>
      <c r="G64" s="3" t="s">
        <v>290</v>
      </c>
      <c r="H64" s="3" t="s">
        <v>137</v>
      </c>
      <c r="I64" s="4" t="s">
        <v>34</v>
      </c>
      <c r="J64" s="2" t="s">
        <v>18</v>
      </c>
      <c r="K64" s="3" t="s">
        <v>35</v>
      </c>
      <c r="L64" s="3" t="s">
        <v>349</v>
      </c>
      <c r="M64" s="15">
        <v>46217</v>
      </c>
      <c r="N64" s="16" t="str">
        <f>IFERROR(VLOOKUP(A64,[1]Hoja1!$A$2:$J$68,10,FALSE), " - ")</f>
        <v xml:space="preserve"> - </v>
      </c>
    </row>
    <row r="65" spans="1:14" x14ac:dyDescent="0.3">
      <c r="A65" s="5">
        <v>35185</v>
      </c>
      <c r="B65" s="5" t="s">
        <v>33</v>
      </c>
      <c r="C65" s="6" t="s">
        <v>13</v>
      </c>
      <c r="D65" s="5" t="s">
        <v>26</v>
      </c>
      <c r="E65" s="13">
        <v>46176</v>
      </c>
      <c r="F65" s="5" t="s">
        <v>27</v>
      </c>
      <c r="G65" s="6" t="s">
        <v>290</v>
      </c>
      <c r="H65" s="6" t="s">
        <v>137</v>
      </c>
      <c r="I65" s="7" t="s">
        <v>115</v>
      </c>
      <c r="J65" s="5" t="s">
        <v>18</v>
      </c>
      <c r="K65" s="6" t="s">
        <v>31</v>
      </c>
      <c r="L65" s="6" t="s">
        <v>32</v>
      </c>
      <c r="M65" s="15">
        <v>46217</v>
      </c>
      <c r="N65" s="16" t="str">
        <f>IFERROR(VLOOKUP(A65,[1]Hoja1!$A$2:$J$68,10,FALSE), " - ")</f>
        <v xml:space="preserve"> - </v>
      </c>
    </row>
    <row r="66" spans="1:14" x14ac:dyDescent="0.3">
      <c r="A66" s="2">
        <v>35257</v>
      </c>
      <c r="B66" s="2" t="s">
        <v>12</v>
      </c>
      <c r="C66" s="3" t="s">
        <v>57</v>
      </c>
      <c r="D66" s="2" t="s">
        <v>26</v>
      </c>
      <c r="E66" s="12">
        <v>46176</v>
      </c>
      <c r="F66" s="2" t="s">
        <v>27</v>
      </c>
      <c r="G66" s="3" t="s">
        <v>339</v>
      </c>
      <c r="H66" s="3" t="s">
        <v>17</v>
      </c>
      <c r="I66" s="4" t="s">
        <v>153</v>
      </c>
      <c r="J66" s="2" t="s">
        <v>18</v>
      </c>
      <c r="K66" s="3" t="s">
        <v>35</v>
      </c>
      <c r="L66" s="3" t="s">
        <v>778</v>
      </c>
      <c r="M66" s="15">
        <v>46217</v>
      </c>
      <c r="N66" s="16" t="str">
        <f>IFERROR(VLOOKUP(A66,[1]Hoja1!$A$2:$J$68,10,FALSE), " - ")</f>
        <v xml:space="preserve"> - </v>
      </c>
    </row>
    <row r="67" spans="1:14" x14ac:dyDescent="0.3">
      <c r="A67" s="5">
        <v>35273</v>
      </c>
      <c r="B67" s="5" t="s">
        <v>12</v>
      </c>
      <c r="C67" s="6" t="s">
        <v>13</v>
      </c>
      <c r="D67" s="5" t="s">
        <v>26</v>
      </c>
      <c r="E67" s="13">
        <v>46176</v>
      </c>
      <c r="F67" s="5" t="s">
        <v>27</v>
      </c>
      <c r="G67" s="6" t="s">
        <v>385</v>
      </c>
      <c r="H67" s="6" t="s">
        <v>366</v>
      </c>
      <c r="I67" s="7" t="s">
        <v>779</v>
      </c>
      <c r="J67" s="5" t="s">
        <v>18</v>
      </c>
      <c r="K67" s="6" t="s">
        <v>31</v>
      </c>
      <c r="L67" s="6" t="s">
        <v>32</v>
      </c>
      <c r="M67" s="15">
        <v>46217</v>
      </c>
      <c r="N67" s="16" t="str">
        <f>IFERROR(VLOOKUP(A67,[1]Hoja1!$A$2:$J$68,10,FALSE), " - ")</f>
        <v xml:space="preserve"> - </v>
      </c>
    </row>
    <row r="68" spans="1:14" x14ac:dyDescent="0.3">
      <c r="A68" s="5">
        <v>35275</v>
      </c>
      <c r="B68" s="5" t="s">
        <v>12</v>
      </c>
      <c r="C68" s="6" t="s">
        <v>13</v>
      </c>
      <c r="D68" s="5" t="s">
        <v>26</v>
      </c>
      <c r="E68" s="13">
        <v>46176</v>
      </c>
      <c r="F68" s="5" t="s">
        <v>27</v>
      </c>
      <c r="G68" s="6" t="s">
        <v>498</v>
      </c>
      <c r="H68" s="6" t="s">
        <v>237</v>
      </c>
      <c r="I68" s="4" t="s">
        <v>622</v>
      </c>
      <c r="J68" s="5" t="s">
        <v>18</v>
      </c>
      <c r="K68" s="6" t="s">
        <v>74</v>
      </c>
      <c r="L68" s="6" t="s">
        <v>832</v>
      </c>
      <c r="M68" s="15">
        <v>46217</v>
      </c>
      <c r="N68" s="16" t="str">
        <f>IFERROR(VLOOKUP(A68,[1]Hoja1!$A$2:$J$68,10,FALSE), " - ")</f>
        <v xml:space="preserve"> - </v>
      </c>
    </row>
    <row r="69" spans="1:14" x14ac:dyDescent="0.3">
      <c r="A69" s="5">
        <v>35429</v>
      </c>
      <c r="B69" s="5" t="s">
        <v>12</v>
      </c>
      <c r="C69" s="6" t="s">
        <v>63</v>
      </c>
      <c r="D69" s="5" t="s">
        <v>26</v>
      </c>
      <c r="E69" s="13">
        <v>46176</v>
      </c>
      <c r="F69" s="5" t="s">
        <v>27</v>
      </c>
      <c r="G69" s="6" t="s">
        <v>245</v>
      </c>
      <c r="H69" s="6" t="s">
        <v>189</v>
      </c>
      <c r="I69" s="4" t="s">
        <v>246</v>
      </c>
      <c r="J69" s="5" t="s">
        <v>18</v>
      </c>
      <c r="K69" s="6" t="s">
        <v>247</v>
      </c>
      <c r="L69" s="6" t="s">
        <v>248</v>
      </c>
      <c r="M69" s="15">
        <v>46217</v>
      </c>
      <c r="N69" s="16" t="str">
        <f>IFERROR(VLOOKUP(A69,[1]Hoja1!$A$2:$J$68,10,FALSE), " - ")</f>
        <v xml:space="preserve"> - </v>
      </c>
    </row>
    <row r="70" spans="1:14" x14ac:dyDescent="0.3">
      <c r="A70" s="2">
        <v>35429</v>
      </c>
      <c r="B70" s="2" t="s">
        <v>12</v>
      </c>
      <c r="C70" s="3" t="s">
        <v>63</v>
      </c>
      <c r="D70" s="2" t="s">
        <v>26</v>
      </c>
      <c r="E70" s="12">
        <v>46176</v>
      </c>
      <c r="F70" s="2" t="s">
        <v>27</v>
      </c>
      <c r="G70" s="3" t="s">
        <v>245</v>
      </c>
      <c r="H70" s="3" t="s">
        <v>189</v>
      </c>
      <c r="I70" s="4" t="s">
        <v>406</v>
      </c>
      <c r="J70" s="2" t="s">
        <v>18</v>
      </c>
      <c r="K70" s="3" t="s">
        <v>247</v>
      </c>
      <c r="L70" s="3" t="s">
        <v>248</v>
      </c>
      <c r="M70" s="15">
        <v>46217</v>
      </c>
      <c r="N70" s="16" t="str">
        <f>IFERROR(VLOOKUP(A70,[1]Hoja1!$A$2:$J$68,10,FALSE), " - ")</f>
        <v xml:space="preserve"> - </v>
      </c>
    </row>
    <row r="71" spans="1:14" x14ac:dyDescent="0.3">
      <c r="A71" s="2">
        <v>35429</v>
      </c>
      <c r="B71" s="2" t="s">
        <v>12</v>
      </c>
      <c r="C71" s="3" t="s">
        <v>63</v>
      </c>
      <c r="D71" s="2" t="s">
        <v>26</v>
      </c>
      <c r="E71" s="12">
        <v>46176</v>
      </c>
      <c r="F71" s="2" t="s">
        <v>27</v>
      </c>
      <c r="G71" s="3" t="s">
        <v>245</v>
      </c>
      <c r="H71" s="3" t="s">
        <v>189</v>
      </c>
      <c r="I71" s="4" t="s">
        <v>584</v>
      </c>
      <c r="J71" s="2" t="s">
        <v>18</v>
      </c>
      <c r="K71" s="3" t="s">
        <v>151</v>
      </c>
      <c r="L71" s="3" t="s">
        <v>248</v>
      </c>
      <c r="M71" s="15">
        <v>46217</v>
      </c>
      <c r="N71" s="16" t="str">
        <f>IFERROR(VLOOKUP(A71,[1]Hoja1!$A$2:$J$68,10,FALSE), " - ")</f>
        <v xml:space="preserve"> - </v>
      </c>
    </row>
    <row r="72" spans="1:14" x14ac:dyDescent="0.3">
      <c r="A72" s="5">
        <v>35431</v>
      </c>
      <c r="B72" s="5" t="s">
        <v>12</v>
      </c>
      <c r="C72" s="6" t="s">
        <v>63</v>
      </c>
      <c r="D72" s="5" t="s">
        <v>26</v>
      </c>
      <c r="E72" s="13">
        <v>46176</v>
      </c>
      <c r="F72" s="5" t="s">
        <v>27</v>
      </c>
      <c r="G72" s="6" t="s">
        <v>407</v>
      </c>
      <c r="H72" s="6" t="s">
        <v>72</v>
      </c>
      <c r="I72" s="4" t="s">
        <v>408</v>
      </c>
      <c r="J72" s="5" t="s">
        <v>18</v>
      </c>
      <c r="K72" s="6" t="s">
        <v>51</v>
      </c>
      <c r="L72" s="6" t="s">
        <v>409</v>
      </c>
      <c r="M72" s="15">
        <v>46217</v>
      </c>
      <c r="N72" s="16" t="str">
        <f>IFERROR(VLOOKUP(A72,[1]Hoja1!$A$2:$J$68,10,FALSE), " - ")</f>
        <v xml:space="preserve"> - </v>
      </c>
    </row>
    <row r="73" spans="1:14" x14ac:dyDescent="0.3">
      <c r="A73" s="5">
        <v>35435</v>
      </c>
      <c r="B73" s="5" t="s">
        <v>12</v>
      </c>
      <c r="C73" s="6" t="s">
        <v>63</v>
      </c>
      <c r="D73" s="5" t="s">
        <v>26</v>
      </c>
      <c r="E73" s="13">
        <v>46176</v>
      </c>
      <c r="F73" s="5" t="s">
        <v>27</v>
      </c>
      <c r="G73" s="6" t="s">
        <v>500</v>
      </c>
      <c r="H73" s="6" t="s">
        <v>501</v>
      </c>
      <c r="I73" s="4" t="s">
        <v>625</v>
      </c>
      <c r="J73" s="5" t="s">
        <v>18</v>
      </c>
      <c r="K73" s="6" t="s">
        <v>35</v>
      </c>
      <c r="L73" s="6" t="s">
        <v>626</v>
      </c>
      <c r="M73" s="15">
        <v>46217</v>
      </c>
      <c r="N73" s="16" t="str">
        <f>IFERROR(VLOOKUP(A73,[1]Hoja1!$A$2:$J$68,10,FALSE), " - ")</f>
        <v xml:space="preserve"> - </v>
      </c>
    </row>
    <row r="74" spans="1:14" x14ac:dyDescent="0.3">
      <c r="A74" s="5">
        <v>35435</v>
      </c>
      <c r="B74" s="5" t="s">
        <v>12</v>
      </c>
      <c r="C74" s="6" t="s">
        <v>63</v>
      </c>
      <c r="D74" s="5" t="s">
        <v>26</v>
      </c>
      <c r="E74" s="13">
        <v>46176</v>
      </c>
      <c r="F74" s="5" t="s">
        <v>27</v>
      </c>
      <c r="G74" s="6" t="s">
        <v>500</v>
      </c>
      <c r="H74" s="6" t="s">
        <v>501</v>
      </c>
      <c r="I74" s="4" t="s">
        <v>713</v>
      </c>
      <c r="J74" s="5" t="s">
        <v>18</v>
      </c>
      <c r="K74" s="6" t="s">
        <v>51</v>
      </c>
      <c r="L74" s="6" t="s">
        <v>626</v>
      </c>
      <c r="M74" s="15">
        <v>46217</v>
      </c>
      <c r="N74" s="16" t="str">
        <f>IFERROR(VLOOKUP(A74,[1]Hoja1!$A$2:$J$68,10,FALSE), " - ")</f>
        <v xml:space="preserve"> - </v>
      </c>
    </row>
    <row r="75" spans="1:14" x14ac:dyDescent="0.3">
      <c r="A75" s="5">
        <v>35435</v>
      </c>
      <c r="B75" s="5" t="s">
        <v>12</v>
      </c>
      <c r="C75" s="6" t="s">
        <v>63</v>
      </c>
      <c r="D75" s="5" t="s">
        <v>26</v>
      </c>
      <c r="E75" s="13">
        <v>46176</v>
      </c>
      <c r="F75" s="5" t="s">
        <v>27</v>
      </c>
      <c r="G75" s="6" t="s">
        <v>500</v>
      </c>
      <c r="H75" s="6" t="s">
        <v>501</v>
      </c>
      <c r="I75" s="4" t="s">
        <v>725</v>
      </c>
      <c r="J75" s="5" t="s">
        <v>18</v>
      </c>
      <c r="K75" s="6" t="s">
        <v>550</v>
      </c>
      <c r="L75" s="6" t="s">
        <v>626</v>
      </c>
      <c r="M75" s="15">
        <v>46217</v>
      </c>
      <c r="N75" s="16" t="str">
        <f>IFERROR(VLOOKUP(A75,[1]Hoja1!$A$2:$J$68,10,FALSE), " - ")</f>
        <v xml:space="preserve"> - </v>
      </c>
    </row>
    <row r="76" spans="1:14" x14ac:dyDescent="0.3">
      <c r="A76" s="2">
        <v>35436</v>
      </c>
      <c r="B76" s="2" t="s">
        <v>12</v>
      </c>
      <c r="C76" s="3" t="s">
        <v>63</v>
      </c>
      <c r="D76" s="2" t="s">
        <v>26</v>
      </c>
      <c r="E76" s="12">
        <v>46176</v>
      </c>
      <c r="F76" s="2" t="s">
        <v>27</v>
      </c>
      <c r="G76" s="3" t="s">
        <v>809</v>
      </c>
      <c r="H76" s="3" t="s">
        <v>810</v>
      </c>
      <c r="I76" s="4" t="s">
        <v>811</v>
      </c>
      <c r="J76" s="2" t="s">
        <v>18</v>
      </c>
      <c r="K76" s="3" t="s">
        <v>812</v>
      </c>
      <c r="L76" s="3" t="s">
        <v>813</v>
      </c>
      <c r="M76" s="15">
        <v>46217</v>
      </c>
      <c r="N76" s="16" t="str">
        <f>IFERROR(VLOOKUP(A76,[1]Hoja1!$A$2:$J$68,10,FALSE), " - ")</f>
        <v xml:space="preserve"> - </v>
      </c>
    </row>
    <row r="77" spans="1:14" x14ac:dyDescent="0.3">
      <c r="A77" s="2">
        <v>35572</v>
      </c>
      <c r="B77" s="2" t="s">
        <v>12</v>
      </c>
      <c r="C77" s="3" t="s">
        <v>57</v>
      </c>
      <c r="D77" s="2" t="s">
        <v>26</v>
      </c>
      <c r="E77" s="12">
        <v>46176</v>
      </c>
      <c r="F77" s="2" t="s">
        <v>27</v>
      </c>
      <c r="G77" s="3" t="s">
        <v>719</v>
      </c>
      <c r="H77" s="3" t="s">
        <v>237</v>
      </c>
      <c r="I77" s="4" t="s">
        <v>720</v>
      </c>
      <c r="J77" s="2" t="s">
        <v>18</v>
      </c>
      <c r="K77" s="3" t="s">
        <v>22</v>
      </c>
      <c r="L77" s="3" t="s">
        <v>721</v>
      </c>
      <c r="M77" s="15">
        <v>46217</v>
      </c>
      <c r="N77" s="16" t="str">
        <f>IFERROR(VLOOKUP(A77,[1]Hoja1!$A$2:$J$68,10,FALSE), " - ")</f>
        <v xml:space="preserve"> - </v>
      </c>
    </row>
    <row r="78" spans="1:14" x14ac:dyDescent="0.3">
      <c r="A78" s="5">
        <v>35572</v>
      </c>
      <c r="B78" s="5" t="s">
        <v>12</v>
      </c>
      <c r="C78" s="6" t="s">
        <v>57</v>
      </c>
      <c r="D78" s="5" t="s">
        <v>26</v>
      </c>
      <c r="E78" s="13">
        <v>46176</v>
      </c>
      <c r="F78" s="5" t="s">
        <v>27</v>
      </c>
      <c r="G78" s="6" t="s">
        <v>719</v>
      </c>
      <c r="H78" s="6" t="s">
        <v>237</v>
      </c>
      <c r="I78" s="4" t="s">
        <v>877</v>
      </c>
      <c r="J78" s="5" t="s">
        <v>18</v>
      </c>
      <c r="K78" s="6" t="s">
        <v>35</v>
      </c>
      <c r="L78" s="6" t="s">
        <v>721</v>
      </c>
      <c r="M78" s="15">
        <v>46217</v>
      </c>
      <c r="N78" s="16" t="str">
        <f>IFERROR(VLOOKUP(A78,[1]Hoja1!$A$2:$J$68,10,FALSE), " - ")</f>
        <v xml:space="preserve"> - </v>
      </c>
    </row>
    <row r="79" spans="1:14" x14ac:dyDescent="0.3">
      <c r="A79" s="2">
        <v>35573</v>
      </c>
      <c r="B79" s="2" t="s">
        <v>12</v>
      </c>
      <c r="C79" s="3" t="s">
        <v>57</v>
      </c>
      <c r="D79" s="2" t="s">
        <v>14</v>
      </c>
      <c r="E79" s="12">
        <v>46176</v>
      </c>
      <c r="F79" s="10" t="s">
        <v>15</v>
      </c>
      <c r="G79" s="3" t="s">
        <v>632</v>
      </c>
      <c r="H79" s="3" t="s">
        <v>130</v>
      </c>
      <c r="I79" s="4" t="s">
        <v>153</v>
      </c>
      <c r="J79" s="2" t="s">
        <v>18</v>
      </c>
      <c r="K79" s="3" t="s">
        <v>35</v>
      </c>
      <c r="L79" s="3" t="s">
        <v>633</v>
      </c>
      <c r="M79" s="15">
        <v>46217</v>
      </c>
      <c r="N79" s="16" t="str">
        <f>IFERROR(VLOOKUP(A79,[1]Hoja1!$A$2:$J$68,10,FALSE), " - ")</f>
        <v xml:space="preserve"> - </v>
      </c>
    </row>
    <row r="80" spans="1:14" x14ac:dyDescent="0.3">
      <c r="A80" s="5">
        <v>35577</v>
      </c>
      <c r="B80" s="5" t="s">
        <v>12</v>
      </c>
      <c r="C80" s="6" t="s">
        <v>57</v>
      </c>
      <c r="D80" s="5" t="s">
        <v>14</v>
      </c>
      <c r="E80" s="13">
        <v>46176</v>
      </c>
      <c r="F80" s="5" t="s">
        <v>15</v>
      </c>
      <c r="G80" s="6" t="s">
        <v>490</v>
      </c>
      <c r="H80" s="6" t="s">
        <v>491</v>
      </c>
      <c r="I80" s="4" t="s">
        <v>153</v>
      </c>
      <c r="J80" s="5" t="s">
        <v>18</v>
      </c>
      <c r="K80" s="6" t="s">
        <v>35</v>
      </c>
      <c r="L80" s="6" t="s">
        <v>633</v>
      </c>
      <c r="M80" s="15">
        <v>46217</v>
      </c>
      <c r="N80" s="16" t="str">
        <f>IFERROR(VLOOKUP(A80,[1]Hoja1!$A$2:$J$68,10,FALSE), " - ")</f>
        <v xml:space="preserve"> - </v>
      </c>
    </row>
    <row r="81" spans="1:14" x14ac:dyDescent="0.3">
      <c r="A81" s="5">
        <v>35628</v>
      </c>
      <c r="B81" s="5" t="s">
        <v>12</v>
      </c>
      <c r="C81" s="6" t="s">
        <v>57</v>
      </c>
      <c r="D81" s="5" t="s">
        <v>26</v>
      </c>
      <c r="E81" s="13">
        <v>46176</v>
      </c>
      <c r="F81" s="5" t="s">
        <v>27</v>
      </c>
      <c r="G81" s="6" t="s">
        <v>193</v>
      </c>
      <c r="H81" s="6" t="s">
        <v>17</v>
      </c>
      <c r="I81" s="7" t="s">
        <v>684</v>
      </c>
      <c r="J81" s="5" t="s">
        <v>18</v>
      </c>
      <c r="K81" s="6" t="s">
        <v>31</v>
      </c>
      <c r="L81" s="6" t="s">
        <v>32</v>
      </c>
      <c r="M81" s="15">
        <v>46217</v>
      </c>
      <c r="N81" s="16" t="str">
        <f>IFERROR(VLOOKUP(A81,[1]Hoja1!$A$2:$J$68,10,FALSE), " - ")</f>
        <v xml:space="preserve"> - </v>
      </c>
    </row>
    <row r="82" spans="1:14" x14ac:dyDescent="0.3">
      <c r="A82" s="5">
        <v>35182</v>
      </c>
      <c r="B82" s="5" t="s">
        <v>12</v>
      </c>
      <c r="C82" s="6" t="s">
        <v>80</v>
      </c>
      <c r="D82" s="5" t="s">
        <v>26</v>
      </c>
      <c r="E82" s="13">
        <v>46177</v>
      </c>
      <c r="F82" s="5" t="s">
        <v>27</v>
      </c>
      <c r="G82" s="6" t="s">
        <v>144</v>
      </c>
      <c r="H82" s="6" t="s">
        <v>42</v>
      </c>
      <c r="I82" s="4" t="s">
        <v>145</v>
      </c>
      <c r="J82" s="5" t="s">
        <v>18</v>
      </c>
      <c r="K82" s="6" t="s">
        <v>35</v>
      </c>
      <c r="L82" s="6" t="s">
        <v>146</v>
      </c>
      <c r="M82" s="15">
        <v>46217</v>
      </c>
      <c r="N82" s="16" t="str">
        <f>IFERROR(VLOOKUP(A82,[1]Hoja1!$A$2:$J$68,10,FALSE), " - ")</f>
        <v xml:space="preserve"> - </v>
      </c>
    </row>
    <row r="83" spans="1:14" x14ac:dyDescent="0.3">
      <c r="A83" s="2">
        <v>35182</v>
      </c>
      <c r="B83" s="2" t="s">
        <v>12</v>
      </c>
      <c r="C83" s="3" t="s">
        <v>80</v>
      </c>
      <c r="D83" s="2" t="s">
        <v>26</v>
      </c>
      <c r="E83" s="12">
        <v>46177</v>
      </c>
      <c r="F83" s="2" t="s">
        <v>27</v>
      </c>
      <c r="G83" s="3" t="s">
        <v>144</v>
      </c>
      <c r="H83" s="3" t="s">
        <v>42</v>
      </c>
      <c r="I83" s="4" t="s">
        <v>359</v>
      </c>
      <c r="J83" s="2" t="s">
        <v>18</v>
      </c>
      <c r="K83" s="3" t="s">
        <v>35</v>
      </c>
      <c r="L83" s="3" t="s">
        <v>146</v>
      </c>
      <c r="M83" s="15">
        <v>46217</v>
      </c>
      <c r="N83" s="16" t="str">
        <f>IFERROR(VLOOKUP(A83,[1]Hoja1!$A$2:$J$68,10,FALSE), " - ")</f>
        <v xml:space="preserve"> - </v>
      </c>
    </row>
    <row r="84" spans="1:14" x14ac:dyDescent="0.3">
      <c r="A84" s="2">
        <v>35182</v>
      </c>
      <c r="B84" s="2" t="s">
        <v>12</v>
      </c>
      <c r="C84" s="3" t="s">
        <v>80</v>
      </c>
      <c r="D84" s="2" t="s">
        <v>26</v>
      </c>
      <c r="E84" s="12">
        <v>46177</v>
      </c>
      <c r="F84" s="2" t="s">
        <v>27</v>
      </c>
      <c r="G84" s="3" t="s">
        <v>144</v>
      </c>
      <c r="H84" s="3" t="s">
        <v>42</v>
      </c>
      <c r="I84" s="4" t="s">
        <v>523</v>
      </c>
      <c r="J84" s="2" t="s">
        <v>18</v>
      </c>
      <c r="K84" s="3" t="s">
        <v>35</v>
      </c>
      <c r="L84" s="3" t="s">
        <v>146</v>
      </c>
      <c r="M84" s="15">
        <v>46217</v>
      </c>
      <c r="N84" s="16" t="str">
        <f>IFERROR(VLOOKUP(A84,[1]Hoja1!$A$2:$J$68,10,FALSE), " - ")</f>
        <v xml:space="preserve"> - </v>
      </c>
    </row>
    <row r="85" spans="1:14" x14ac:dyDescent="0.3">
      <c r="A85" s="5">
        <v>35182</v>
      </c>
      <c r="B85" s="5" t="s">
        <v>12</v>
      </c>
      <c r="C85" s="6" t="s">
        <v>80</v>
      </c>
      <c r="D85" s="5" t="s">
        <v>26</v>
      </c>
      <c r="E85" s="13">
        <v>46177</v>
      </c>
      <c r="F85" s="5" t="s">
        <v>27</v>
      </c>
      <c r="G85" s="6" t="s">
        <v>144</v>
      </c>
      <c r="H85" s="6" t="s">
        <v>42</v>
      </c>
      <c r="I85" s="4" t="s">
        <v>635</v>
      </c>
      <c r="J85" s="5" t="s">
        <v>18</v>
      </c>
      <c r="K85" s="6" t="s">
        <v>35</v>
      </c>
      <c r="L85" s="6" t="s">
        <v>146</v>
      </c>
      <c r="M85" s="15">
        <v>46217</v>
      </c>
      <c r="N85" s="16" t="str">
        <f>IFERROR(VLOOKUP(A85,[1]Hoja1!$A$2:$J$68,10,FALSE), " - ")</f>
        <v xml:space="preserve"> - </v>
      </c>
    </row>
    <row r="86" spans="1:14" x14ac:dyDescent="0.3">
      <c r="A86" s="2">
        <v>35182</v>
      </c>
      <c r="B86" s="2" t="s">
        <v>12</v>
      </c>
      <c r="C86" s="3" t="s">
        <v>80</v>
      </c>
      <c r="D86" s="2" t="s">
        <v>26</v>
      </c>
      <c r="E86" s="12">
        <v>46177</v>
      </c>
      <c r="F86" s="2" t="s">
        <v>27</v>
      </c>
      <c r="G86" s="3" t="s">
        <v>144</v>
      </c>
      <c r="H86" s="3" t="s">
        <v>42</v>
      </c>
      <c r="I86" s="4" t="s">
        <v>723</v>
      </c>
      <c r="J86" s="2" t="s">
        <v>18</v>
      </c>
      <c r="K86" s="3" t="s">
        <v>35</v>
      </c>
      <c r="L86" s="3" t="s">
        <v>146</v>
      </c>
      <c r="M86" s="15">
        <v>46217</v>
      </c>
      <c r="N86" s="16" t="str">
        <f>IFERROR(VLOOKUP(A86,[1]Hoja1!$A$2:$J$68,10,FALSE), " - ")</f>
        <v xml:space="preserve"> - </v>
      </c>
    </row>
    <row r="87" spans="1:14" x14ac:dyDescent="0.3">
      <c r="A87" s="5">
        <v>35182</v>
      </c>
      <c r="B87" s="5" t="s">
        <v>12</v>
      </c>
      <c r="C87" s="6" t="s">
        <v>80</v>
      </c>
      <c r="D87" s="5" t="s">
        <v>26</v>
      </c>
      <c r="E87" s="13">
        <v>46177</v>
      </c>
      <c r="F87" s="5" t="s">
        <v>27</v>
      </c>
      <c r="G87" s="6" t="s">
        <v>144</v>
      </c>
      <c r="H87" s="6" t="s">
        <v>42</v>
      </c>
      <c r="I87" s="4" t="s">
        <v>831</v>
      </c>
      <c r="J87" s="5" t="s">
        <v>18</v>
      </c>
      <c r="K87" s="6" t="s">
        <v>35</v>
      </c>
      <c r="L87" s="6" t="s">
        <v>146</v>
      </c>
      <c r="M87" s="15">
        <v>46217</v>
      </c>
      <c r="N87" s="16" t="str">
        <f>IFERROR(VLOOKUP(A87,[1]Hoja1!$A$2:$J$68,10,FALSE), " - ")</f>
        <v xml:space="preserve"> - </v>
      </c>
    </row>
    <row r="88" spans="1:14" x14ac:dyDescent="0.3">
      <c r="A88" s="2">
        <v>35289</v>
      </c>
      <c r="B88" s="2" t="s">
        <v>62</v>
      </c>
      <c r="C88" s="3" t="s">
        <v>63</v>
      </c>
      <c r="D88" s="2" t="s">
        <v>26</v>
      </c>
      <c r="E88" s="12">
        <v>46177</v>
      </c>
      <c r="F88" s="2" t="s">
        <v>27</v>
      </c>
      <c r="G88" s="3" t="s">
        <v>370</v>
      </c>
      <c r="H88" s="3" t="s">
        <v>196</v>
      </c>
      <c r="I88" s="7" t="s">
        <v>371</v>
      </c>
      <c r="J88" s="2" t="s">
        <v>18</v>
      </c>
      <c r="K88" s="3" t="s">
        <v>31</v>
      </c>
      <c r="L88" s="3" t="s">
        <v>32</v>
      </c>
      <c r="M88" s="15">
        <v>46217</v>
      </c>
      <c r="N88" s="16" t="str">
        <f>IFERROR(VLOOKUP(A88,[1]Hoja1!$A$2:$J$68,10,FALSE), " - ")</f>
        <v xml:space="preserve"> - </v>
      </c>
    </row>
    <row r="89" spans="1:14" x14ac:dyDescent="0.3">
      <c r="A89" s="5">
        <v>35295</v>
      </c>
      <c r="B89" s="5" t="s">
        <v>104</v>
      </c>
      <c r="C89" s="6" t="s">
        <v>13</v>
      </c>
      <c r="D89" s="5" t="s">
        <v>26</v>
      </c>
      <c r="E89" s="13">
        <v>46177</v>
      </c>
      <c r="F89" s="5" t="s">
        <v>27</v>
      </c>
      <c r="G89" s="6" t="s">
        <v>644</v>
      </c>
      <c r="H89" s="6" t="s">
        <v>189</v>
      </c>
      <c r="I89" s="4" t="s">
        <v>314</v>
      </c>
      <c r="J89" s="5" t="s">
        <v>18</v>
      </c>
      <c r="K89" s="6" t="s">
        <v>107</v>
      </c>
      <c r="L89" s="6" t="s">
        <v>108</v>
      </c>
      <c r="M89" s="15">
        <v>46217</v>
      </c>
      <c r="N89" s="16" t="str">
        <f>IFERROR(VLOOKUP(A89,[1]Hoja1!$A$2:$J$68,10,FALSE), " - ")</f>
        <v xml:space="preserve"> - </v>
      </c>
    </row>
    <row r="90" spans="1:14" x14ac:dyDescent="0.3">
      <c r="A90" s="5">
        <v>35298</v>
      </c>
      <c r="B90" s="5" t="s">
        <v>62</v>
      </c>
      <c r="C90" s="6" t="s">
        <v>80</v>
      </c>
      <c r="D90" s="5" t="s">
        <v>26</v>
      </c>
      <c r="E90" s="13">
        <v>46177</v>
      </c>
      <c r="F90" s="9"/>
      <c r="G90" s="6" t="s">
        <v>601</v>
      </c>
      <c r="H90" s="6" t="s">
        <v>602</v>
      </c>
      <c r="I90" s="7" t="s">
        <v>603</v>
      </c>
      <c r="J90" s="5" t="s">
        <v>18</v>
      </c>
      <c r="K90" s="6" t="s">
        <v>31</v>
      </c>
      <c r="L90" s="6" t="s">
        <v>32</v>
      </c>
      <c r="M90" s="15">
        <v>46217</v>
      </c>
      <c r="N90" s="16" t="str">
        <f>IFERROR(VLOOKUP(A90,[1]Hoja1!$A$2:$J$68,10,FALSE), " - ")</f>
        <v xml:space="preserve"> - </v>
      </c>
    </row>
    <row r="91" spans="1:14" x14ac:dyDescent="0.3">
      <c r="A91" s="5">
        <v>35299</v>
      </c>
      <c r="B91" s="5" t="s">
        <v>12</v>
      </c>
      <c r="C91" s="6" t="s">
        <v>13</v>
      </c>
      <c r="D91" s="5" t="s">
        <v>26</v>
      </c>
      <c r="E91" s="13">
        <v>46177</v>
      </c>
      <c r="F91" s="5" t="s">
        <v>27</v>
      </c>
      <c r="G91" s="6" t="s">
        <v>67</v>
      </c>
      <c r="H91" s="6" t="s">
        <v>20</v>
      </c>
      <c r="I91" s="4" t="s">
        <v>467</v>
      </c>
      <c r="J91" s="5" t="s">
        <v>18</v>
      </c>
      <c r="K91" s="6" t="s">
        <v>35</v>
      </c>
      <c r="L91" s="6" t="s">
        <v>468</v>
      </c>
      <c r="M91" s="15">
        <v>46217</v>
      </c>
      <c r="N91" s="16" t="str">
        <f>IFERROR(VLOOKUP(A91,[1]Hoja1!$A$2:$J$68,10,FALSE), " - ")</f>
        <v xml:space="preserve"> - </v>
      </c>
    </row>
    <row r="92" spans="1:14" x14ac:dyDescent="0.3">
      <c r="A92" s="5">
        <v>35302</v>
      </c>
      <c r="B92" s="5" t="s">
        <v>62</v>
      </c>
      <c r="C92" s="6" t="s">
        <v>13</v>
      </c>
      <c r="D92" s="5" t="s">
        <v>26</v>
      </c>
      <c r="E92" s="13">
        <v>46177</v>
      </c>
      <c r="F92" s="5" t="s">
        <v>27</v>
      </c>
      <c r="G92" s="6" t="s">
        <v>176</v>
      </c>
      <c r="H92" s="6" t="s">
        <v>177</v>
      </c>
      <c r="I92" s="7" t="s">
        <v>178</v>
      </c>
      <c r="J92" s="5" t="s">
        <v>18</v>
      </c>
      <c r="K92" s="6" t="s">
        <v>31</v>
      </c>
      <c r="L92" s="6" t="s">
        <v>32</v>
      </c>
      <c r="M92" s="15">
        <v>46217</v>
      </c>
      <c r="N92" s="16" t="str">
        <f>IFERROR(VLOOKUP(A92,[1]Hoja1!$A$2:$J$68,10,FALSE), " - ")</f>
        <v xml:space="preserve"> - </v>
      </c>
    </row>
    <row r="93" spans="1:14" x14ac:dyDescent="0.3">
      <c r="A93" s="2">
        <v>35302</v>
      </c>
      <c r="B93" s="2" t="s">
        <v>62</v>
      </c>
      <c r="C93" s="3" t="s">
        <v>13</v>
      </c>
      <c r="D93" s="2" t="s">
        <v>26</v>
      </c>
      <c r="E93" s="12">
        <v>46177</v>
      </c>
      <c r="F93" s="2" t="s">
        <v>27</v>
      </c>
      <c r="G93" s="3" t="s">
        <v>176</v>
      </c>
      <c r="H93" s="3" t="s">
        <v>177</v>
      </c>
      <c r="I93" s="7" t="s">
        <v>645</v>
      </c>
      <c r="J93" s="2" t="s">
        <v>18</v>
      </c>
      <c r="K93" s="3" t="s">
        <v>31</v>
      </c>
      <c r="L93" s="3" t="s">
        <v>32</v>
      </c>
      <c r="M93" s="15">
        <v>46217</v>
      </c>
      <c r="N93" s="16" t="str">
        <f>IFERROR(VLOOKUP(A93,[1]Hoja1!$A$2:$J$68,10,FALSE), " - ")</f>
        <v xml:space="preserve"> - </v>
      </c>
    </row>
    <row r="94" spans="1:14" x14ac:dyDescent="0.3">
      <c r="A94" s="2">
        <v>35302</v>
      </c>
      <c r="B94" s="2" t="s">
        <v>62</v>
      </c>
      <c r="C94" s="3" t="s">
        <v>13</v>
      </c>
      <c r="D94" s="2" t="s">
        <v>26</v>
      </c>
      <c r="E94" s="12">
        <v>46177</v>
      </c>
      <c r="F94" s="2" t="s">
        <v>27</v>
      </c>
      <c r="G94" s="3" t="s">
        <v>176</v>
      </c>
      <c r="H94" s="3" t="s">
        <v>177</v>
      </c>
      <c r="I94" s="7" t="s">
        <v>851</v>
      </c>
      <c r="J94" s="2" t="s">
        <v>18</v>
      </c>
      <c r="K94" s="3" t="s">
        <v>31</v>
      </c>
      <c r="L94" s="3" t="s">
        <v>32</v>
      </c>
      <c r="M94" s="15">
        <v>46217</v>
      </c>
      <c r="N94" s="16" t="str">
        <f>IFERROR(VLOOKUP(A94,[1]Hoja1!$A$2:$J$68,10,FALSE), " - ")</f>
        <v xml:space="preserve"> - </v>
      </c>
    </row>
    <row r="95" spans="1:14" x14ac:dyDescent="0.3">
      <c r="A95" s="5">
        <v>35457</v>
      </c>
      <c r="B95" s="5" t="s">
        <v>12</v>
      </c>
      <c r="C95" s="6" t="s">
        <v>63</v>
      </c>
      <c r="D95" s="5" t="s">
        <v>14</v>
      </c>
      <c r="E95" s="13">
        <v>46177</v>
      </c>
      <c r="F95" s="5" t="s">
        <v>15</v>
      </c>
      <c r="G95" s="6" t="s">
        <v>814</v>
      </c>
      <c r="H95" s="6" t="s">
        <v>463</v>
      </c>
      <c r="I95" s="4" t="s">
        <v>172</v>
      </c>
      <c r="J95" s="5" t="s">
        <v>18</v>
      </c>
      <c r="K95" s="6" t="s">
        <v>815</v>
      </c>
      <c r="L95" s="6" t="s">
        <v>816</v>
      </c>
      <c r="M95" s="15">
        <v>46217</v>
      </c>
      <c r="N95" s="16" t="str">
        <f>IFERROR(VLOOKUP(A95,[1]Hoja1!$A$2:$J$68,10,FALSE), " - ")</f>
        <v xml:space="preserve"> - </v>
      </c>
    </row>
    <row r="96" spans="1:14" x14ac:dyDescent="0.3">
      <c r="A96" s="5">
        <v>35652</v>
      </c>
      <c r="B96" s="5" t="s">
        <v>12</v>
      </c>
      <c r="C96" s="6" t="s">
        <v>57</v>
      </c>
      <c r="D96" s="5" t="s">
        <v>26</v>
      </c>
      <c r="E96" s="13">
        <v>46177</v>
      </c>
      <c r="F96" s="5" t="s">
        <v>27</v>
      </c>
      <c r="G96" s="6" t="s">
        <v>685</v>
      </c>
      <c r="H96" s="6" t="s">
        <v>237</v>
      </c>
      <c r="I96" s="7" t="s">
        <v>131</v>
      </c>
      <c r="J96" s="5" t="s">
        <v>18</v>
      </c>
      <c r="K96" s="6" t="s">
        <v>31</v>
      </c>
      <c r="L96" s="6" t="s">
        <v>32</v>
      </c>
      <c r="M96" s="15">
        <v>46217</v>
      </c>
      <c r="N96" s="16" t="str">
        <f>IFERROR(VLOOKUP(A96,[1]Hoja1!$A$2:$J$68,10,FALSE), " - ")</f>
        <v xml:space="preserve"> - </v>
      </c>
    </row>
    <row r="97" spans="1:14" x14ac:dyDescent="0.3">
      <c r="A97" s="2">
        <v>35653</v>
      </c>
      <c r="B97" s="2" t="s">
        <v>12</v>
      </c>
      <c r="C97" s="3" t="s">
        <v>57</v>
      </c>
      <c r="D97" s="2" t="s">
        <v>26</v>
      </c>
      <c r="E97" s="12">
        <v>46177</v>
      </c>
      <c r="F97" s="2" t="s">
        <v>27</v>
      </c>
      <c r="G97" s="3" t="s">
        <v>780</v>
      </c>
      <c r="H97" s="3" t="s">
        <v>237</v>
      </c>
      <c r="I97" s="7" t="s">
        <v>131</v>
      </c>
      <c r="J97" s="2" t="s">
        <v>18</v>
      </c>
      <c r="K97" s="3" t="s">
        <v>31</v>
      </c>
      <c r="L97" s="3" t="s">
        <v>32</v>
      </c>
      <c r="M97" s="15">
        <v>46217</v>
      </c>
      <c r="N97" s="16" t="str">
        <f>IFERROR(VLOOKUP(A97,[1]Hoja1!$A$2:$J$68,10,FALSE), " - ")</f>
        <v xml:space="preserve"> - </v>
      </c>
    </row>
    <row r="98" spans="1:14" x14ac:dyDescent="0.3">
      <c r="A98" s="5">
        <v>35654</v>
      </c>
      <c r="B98" s="5" t="s">
        <v>12</v>
      </c>
      <c r="C98" s="6" t="s">
        <v>57</v>
      </c>
      <c r="D98" s="5" t="s">
        <v>26</v>
      </c>
      <c r="E98" s="13">
        <v>46177</v>
      </c>
      <c r="F98" s="5" t="s">
        <v>27</v>
      </c>
      <c r="G98" s="6" t="s">
        <v>457</v>
      </c>
      <c r="H98" s="6" t="s">
        <v>130</v>
      </c>
      <c r="I98" s="7" t="s">
        <v>131</v>
      </c>
      <c r="J98" s="5" t="s">
        <v>18</v>
      </c>
      <c r="K98" s="6" t="s">
        <v>31</v>
      </c>
      <c r="L98" s="6" t="s">
        <v>32</v>
      </c>
      <c r="M98" s="15">
        <v>46217</v>
      </c>
      <c r="N98" s="16" t="str">
        <f>IFERROR(VLOOKUP(A98,[1]Hoja1!$A$2:$J$68,10,FALSE), " - ")</f>
        <v xml:space="preserve"> - </v>
      </c>
    </row>
    <row r="99" spans="1:14" x14ac:dyDescent="0.3">
      <c r="A99" s="2">
        <v>35655</v>
      </c>
      <c r="B99" s="2" t="s">
        <v>12</v>
      </c>
      <c r="C99" s="3" t="s">
        <v>57</v>
      </c>
      <c r="D99" s="2" t="s">
        <v>26</v>
      </c>
      <c r="E99" s="12">
        <v>46177</v>
      </c>
      <c r="F99" s="10" t="s">
        <v>27</v>
      </c>
      <c r="G99" s="3" t="s">
        <v>273</v>
      </c>
      <c r="H99" s="3" t="s">
        <v>130</v>
      </c>
      <c r="I99" s="7" t="s">
        <v>131</v>
      </c>
      <c r="J99" s="2" t="s">
        <v>18</v>
      </c>
      <c r="K99" s="3" t="s">
        <v>31</v>
      </c>
      <c r="L99" s="3" t="s">
        <v>32</v>
      </c>
      <c r="M99" s="15">
        <v>46217</v>
      </c>
      <c r="N99" s="16" t="str">
        <f>IFERROR(VLOOKUP(A99,[1]Hoja1!$A$2:$J$68,10,FALSE), " - ")</f>
        <v xml:space="preserve"> - </v>
      </c>
    </row>
    <row r="100" spans="1:14" x14ac:dyDescent="0.3">
      <c r="A100" s="2">
        <v>35656</v>
      </c>
      <c r="B100" s="2" t="s">
        <v>12</v>
      </c>
      <c r="C100" s="3" t="s">
        <v>57</v>
      </c>
      <c r="D100" s="2" t="s">
        <v>26</v>
      </c>
      <c r="E100" s="12">
        <v>46177</v>
      </c>
      <c r="F100" s="2" t="s">
        <v>27</v>
      </c>
      <c r="G100" s="3" t="s">
        <v>686</v>
      </c>
      <c r="H100" s="3" t="s">
        <v>237</v>
      </c>
      <c r="I100" s="7" t="s">
        <v>131</v>
      </c>
      <c r="J100" s="2" t="s">
        <v>18</v>
      </c>
      <c r="K100" s="3" t="s">
        <v>31</v>
      </c>
      <c r="L100" s="3" t="s">
        <v>32</v>
      </c>
      <c r="M100" s="15">
        <v>46217</v>
      </c>
      <c r="N100" s="16" t="str">
        <f>IFERROR(VLOOKUP(A100,[1]Hoja1!$A$2:$J$68,10,FALSE), " - ")</f>
        <v xml:space="preserve"> - </v>
      </c>
    </row>
    <row r="101" spans="1:14" x14ac:dyDescent="0.3">
      <c r="A101" s="2">
        <v>36119</v>
      </c>
      <c r="B101" s="2" t="s">
        <v>12</v>
      </c>
      <c r="C101" s="3" t="s">
        <v>80</v>
      </c>
      <c r="D101" s="2" t="s">
        <v>14</v>
      </c>
      <c r="E101" s="12">
        <v>46177</v>
      </c>
      <c r="F101" s="2" t="s">
        <v>15</v>
      </c>
      <c r="G101" s="3" t="s">
        <v>886</v>
      </c>
      <c r="H101" s="3" t="s">
        <v>72</v>
      </c>
      <c r="I101" s="8" t="s">
        <v>887</v>
      </c>
      <c r="J101" s="2" t="s">
        <v>18</v>
      </c>
      <c r="K101" s="3" t="s">
        <v>69</v>
      </c>
      <c r="L101" s="3" t="s">
        <v>888</v>
      </c>
      <c r="M101" s="15">
        <v>46217</v>
      </c>
      <c r="N101" s="16" t="str">
        <f>IFERROR(VLOOKUP(A101,[1]Hoja1!$A$2:$J$68,10,FALSE), " - ")</f>
        <v xml:space="preserve"> - </v>
      </c>
    </row>
    <row r="102" spans="1:14" x14ac:dyDescent="0.3">
      <c r="A102" s="5">
        <v>35303</v>
      </c>
      <c r="B102" s="5" t="s">
        <v>12</v>
      </c>
      <c r="C102" s="6" t="s">
        <v>13</v>
      </c>
      <c r="D102" s="5" t="s">
        <v>26</v>
      </c>
      <c r="E102" s="13">
        <v>46178</v>
      </c>
      <c r="F102" s="5" t="s">
        <v>27</v>
      </c>
      <c r="G102" s="6" t="s">
        <v>234</v>
      </c>
      <c r="H102" s="6" t="s">
        <v>42</v>
      </c>
      <c r="I102" s="4" t="s">
        <v>210</v>
      </c>
      <c r="J102" s="5" t="s">
        <v>18</v>
      </c>
      <c r="K102" s="6" t="s">
        <v>44</v>
      </c>
      <c r="L102" s="6" t="s">
        <v>302</v>
      </c>
      <c r="M102" s="15">
        <v>46217</v>
      </c>
      <c r="N102" s="16" t="str">
        <f>IFERROR(VLOOKUP(A102,[1]Hoja1!$A$2:$J$68,10,FALSE), " - ")</f>
        <v xml:space="preserve"> - </v>
      </c>
    </row>
    <row r="103" spans="1:14" x14ac:dyDescent="0.3">
      <c r="A103" s="2">
        <v>35303</v>
      </c>
      <c r="B103" s="2" t="s">
        <v>12</v>
      </c>
      <c r="C103" s="3" t="s">
        <v>13</v>
      </c>
      <c r="D103" s="2" t="s">
        <v>26</v>
      </c>
      <c r="E103" s="12">
        <v>46178</v>
      </c>
      <c r="F103" s="2" t="s">
        <v>27</v>
      </c>
      <c r="G103" s="3" t="s">
        <v>234</v>
      </c>
      <c r="H103" s="3" t="s">
        <v>42</v>
      </c>
      <c r="I103" s="4" t="s">
        <v>118</v>
      </c>
      <c r="J103" s="2" t="s">
        <v>18</v>
      </c>
      <c r="K103" s="3" t="s">
        <v>44</v>
      </c>
      <c r="L103" s="3" t="s">
        <v>302</v>
      </c>
      <c r="M103" s="15">
        <v>46217</v>
      </c>
      <c r="N103" s="16" t="str">
        <f>IFERROR(VLOOKUP(A103,[1]Hoja1!$A$2:$J$68,10,FALSE), " - ")</f>
        <v xml:space="preserve"> - </v>
      </c>
    </row>
    <row r="104" spans="1:14" x14ac:dyDescent="0.3">
      <c r="A104" s="2">
        <v>35307</v>
      </c>
      <c r="B104" s="2" t="s">
        <v>12</v>
      </c>
      <c r="C104" s="3" t="s">
        <v>13</v>
      </c>
      <c r="D104" s="2" t="s">
        <v>26</v>
      </c>
      <c r="E104" s="12">
        <v>46180</v>
      </c>
      <c r="F104" s="2" t="s">
        <v>27</v>
      </c>
      <c r="G104" s="3" t="s">
        <v>218</v>
      </c>
      <c r="H104" s="3" t="s">
        <v>29</v>
      </c>
      <c r="I104" s="4" t="s">
        <v>793</v>
      </c>
      <c r="J104" s="2" t="s">
        <v>18</v>
      </c>
      <c r="K104" s="3" t="s">
        <v>794</v>
      </c>
      <c r="L104" s="3" t="s">
        <v>795</v>
      </c>
      <c r="M104" s="15">
        <v>46217</v>
      </c>
      <c r="N104" s="16" t="str">
        <f>IFERROR(VLOOKUP(A104,[1]Hoja1!$A$2:$J$68,10,FALSE), " - ")</f>
        <v xml:space="preserve"> - </v>
      </c>
    </row>
    <row r="105" spans="1:14" x14ac:dyDescent="0.3">
      <c r="A105" s="2">
        <v>35309</v>
      </c>
      <c r="B105" s="2" t="s">
        <v>12</v>
      </c>
      <c r="C105" s="3" t="s">
        <v>13</v>
      </c>
      <c r="D105" s="2" t="s">
        <v>26</v>
      </c>
      <c r="E105" s="12">
        <v>46180</v>
      </c>
      <c r="F105" s="2" t="s">
        <v>27</v>
      </c>
      <c r="G105" s="3" t="s">
        <v>303</v>
      </c>
      <c r="H105" s="3" t="s">
        <v>20</v>
      </c>
      <c r="I105" s="4" t="s">
        <v>304</v>
      </c>
      <c r="J105" s="2" t="s">
        <v>18</v>
      </c>
      <c r="K105" s="3" t="s">
        <v>305</v>
      </c>
      <c r="L105" s="3" t="s">
        <v>306</v>
      </c>
      <c r="M105" s="15">
        <v>46217</v>
      </c>
      <c r="N105" s="16" t="str">
        <f>IFERROR(VLOOKUP(A105,[1]Hoja1!$A$2:$J$68,10,FALSE), " - ")</f>
        <v xml:space="preserve"> - </v>
      </c>
    </row>
    <row r="106" spans="1:14" x14ac:dyDescent="0.3">
      <c r="A106" s="2">
        <v>35309</v>
      </c>
      <c r="B106" s="2" t="s">
        <v>12</v>
      </c>
      <c r="C106" s="3" t="s">
        <v>13</v>
      </c>
      <c r="D106" s="2" t="s">
        <v>26</v>
      </c>
      <c r="E106" s="12">
        <v>46180</v>
      </c>
      <c r="F106" s="2" t="s">
        <v>27</v>
      </c>
      <c r="G106" s="3" t="s">
        <v>303</v>
      </c>
      <c r="H106" s="3" t="s">
        <v>20</v>
      </c>
      <c r="I106" s="4" t="s">
        <v>469</v>
      </c>
      <c r="J106" s="2" t="s">
        <v>18</v>
      </c>
      <c r="K106" s="3" t="s">
        <v>305</v>
      </c>
      <c r="L106" s="3" t="s">
        <v>306</v>
      </c>
      <c r="M106" s="15">
        <v>46217</v>
      </c>
      <c r="N106" s="16" t="str">
        <f>IFERROR(VLOOKUP(A106,[1]Hoja1!$A$2:$J$68,10,FALSE), " - ")</f>
        <v xml:space="preserve"> - </v>
      </c>
    </row>
    <row r="107" spans="1:14" x14ac:dyDescent="0.3">
      <c r="A107" s="2">
        <v>35309</v>
      </c>
      <c r="B107" s="2" t="s">
        <v>12</v>
      </c>
      <c r="C107" s="3" t="s">
        <v>13</v>
      </c>
      <c r="D107" s="2" t="s">
        <v>26</v>
      </c>
      <c r="E107" s="12">
        <v>46180</v>
      </c>
      <c r="F107" s="2" t="s">
        <v>27</v>
      </c>
      <c r="G107" s="3" t="s">
        <v>303</v>
      </c>
      <c r="H107" s="3" t="s">
        <v>20</v>
      </c>
      <c r="I107" s="4" t="s">
        <v>402</v>
      </c>
      <c r="J107" s="2" t="s">
        <v>18</v>
      </c>
      <c r="K107" s="3" t="s">
        <v>305</v>
      </c>
      <c r="L107" s="3" t="s">
        <v>306</v>
      </c>
      <c r="M107" s="15">
        <v>46217</v>
      </c>
      <c r="N107" s="16" t="str">
        <f>IFERROR(VLOOKUP(A107,[1]Hoja1!$A$2:$J$68,10,FALSE), " - ")</f>
        <v xml:space="preserve"> - </v>
      </c>
    </row>
    <row r="108" spans="1:14" x14ac:dyDescent="0.3">
      <c r="A108" s="5">
        <v>35311</v>
      </c>
      <c r="B108" s="5" t="s">
        <v>12</v>
      </c>
      <c r="C108" s="6" t="s">
        <v>13</v>
      </c>
      <c r="D108" s="5" t="s">
        <v>26</v>
      </c>
      <c r="E108" s="13">
        <v>46180</v>
      </c>
      <c r="F108" s="5" t="s">
        <v>27</v>
      </c>
      <c r="G108" s="6" t="s">
        <v>97</v>
      </c>
      <c r="H108" s="6" t="s">
        <v>98</v>
      </c>
      <c r="I108" s="4" t="s">
        <v>470</v>
      </c>
      <c r="J108" s="5" t="s">
        <v>18</v>
      </c>
      <c r="K108" s="6" t="s">
        <v>471</v>
      </c>
      <c r="L108" s="6" t="s">
        <v>472</v>
      </c>
      <c r="M108" s="15">
        <v>46217</v>
      </c>
      <c r="N108" s="16" t="str">
        <f>IFERROR(VLOOKUP(A108,[1]Hoja1!$A$2:$J$68,10,FALSE), " - ")</f>
        <v xml:space="preserve"> - </v>
      </c>
    </row>
    <row r="109" spans="1:14" x14ac:dyDescent="0.3">
      <c r="A109" s="5">
        <v>35313</v>
      </c>
      <c r="B109" s="5" t="s">
        <v>104</v>
      </c>
      <c r="C109" s="6" t="s">
        <v>13</v>
      </c>
      <c r="D109" s="5" t="s">
        <v>26</v>
      </c>
      <c r="E109" s="13">
        <v>46180</v>
      </c>
      <c r="F109" s="5" t="s">
        <v>27</v>
      </c>
      <c r="G109" s="6" t="s">
        <v>353</v>
      </c>
      <c r="H109" s="6" t="s">
        <v>17</v>
      </c>
      <c r="I109" s="4" t="s">
        <v>604</v>
      </c>
      <c r="J109" s="5" t="s">
        <v>18</v>
      </c>
      <c r="K109" s="6" t="s">
        <v>169</v>
      </c>
      <c r="L109" s="6" t="s">
        <v>605</v>
      </c>
      <c r="M109" s="15">
        <v>46217</v>
      </c>
      <c r="N109" s="16" t="str">
        <f>IFERROR(VLOOKUP(A109,[1]Hoja1!$A$2:$J$68,10,FALSE), " - ")</f>
        <v xml:space="preserve"> - </v>
      </c>
    </row>
    <row r="110" spans="1:14" x14ac:dyDescent="0.3">
      <c r="A110" s="2">
        <v>35369</v>
      </c>
      <c r="B110" s="2" t="s">
        <v>12</v>
      </c>
      <c r="C110" s="3" t="s">
        <v>57</v>
      </c>
      <c r="D110" s="2" t="s">
        <v>26</v>
      </c>
      <c r="E110" s="12">
        <v>46180</v>
      </c>
      <c r="F110" s="2" t="s">
        <v>27</v>
      </c>
      <c r="G110" s="3" t="s">
        <v>234</v>
      </c>
      <c r="H110" s="3" t="s">
        <v>42</v>
      </c>
      <c r="I110" s="7" t="s">
        <v>235</v>
      </c>
      <c r="J110" s="2" t="s">
        <v>18</v>
      </c>
      <c r="K110" s="3" t="s">
        <v>31</v>
      </c>
      <c r="L110" s="3" t="s">
        <v>32</v>
      </c>
      <c r="M110" s="15">
        <v>46217</v>
      </c>
      <c r="N110" s="16" t="str">
        <f>IFERROR(VLOOKUP(A110,[1]Hoja1!$A$2:$J$68,10,FALSE), " - ")</f>
        <v xml:space="preserve"> - </v>
      </c>
    </row>
    <row r="111" spans="1:14" x14ac:dyDescent="0.3">
      <c r="A111" s="2">
        <v>35394</v>
      </c>
      <c r="B111" s="2" t="s">
        <v>12</v>
      </c>
      <c r="C111" s="3" t="s">
        <v>57</v>
      </c>
      <c r="D111" s="2" t="s">
        <v>26</v>
      </c>
      <c r="E111" s="12">
        <v>46180</v>
      </c>
      <c r="F111" s="2" t="s">
        <v>27</v>
      </c>
      <c r="G111" s="3" t="s">
        <v>19</v>
      </c>
      <c r="H111" s="3" t="s">
        <v>20</v>
      </c>
      <c r="I111" s="7" t="s">
        <v>663</v>
      </c>
      <c r="J111" s="2" t="s">
        <v>18</v>
      </c>
      <c r="K111" s="3" t="s">
        <v>31</v>
      </c>
      <c r="L111" s="3" t="s">
        <v>32</v>
      </c>
      <c r="M111" s="15">
        <v>46217</v>
      </c>
      <c r="N111" s="16" t="str">
        <f>IFERROR(VLOOKUP(A111,[1]Hoja1!$A$2:$J$68,10,FALSE), " - ")</f>
        <v xml:space="preserve"> - </v>
      </c>
    </row>
    <row r="112" spans="1:14" x14ac:dyDescent="0.3">
      <c r="A112" s="2">
        <v>35396</v>
      </c>
      <c r="B112" s="2" t="s">
        <v>62</v>
      </c>
      <c r="C112" s="3" t="s">
        <v>13</v>
      </c>
      <c r="D112" s="2" t="s">
        <v>26</v>
      </c>
      <c r="E112" s="12">
        <v>46180</v>
      </c>
      <c r="F112" s="2" t="s">
        <v>27</v>
      </c>
      <c r="G112" s="3" t="s">
        <v>133</v>
      </c>
      <c r="H112" s="3" t="s">
        <v>130</v>
      </c>
      <c r="I112" s="7" t="s">
        <v>764</v>
      </c>
      <c r="J112" s="2" t="s">
        <v>18</v>
      </c>
      <c r="K112" s="3" t="s">
        <v>31</v>
      </c>
      <c r="L112" s="3" t="s">
        <v>32</v>
      </c>
      <c r="M112" s="15">
        <v>46217</v>
      </c>
      <c r="N112" s="16" t="str">
        <f>IFERROR(VLOOKUP(A112,[1]Hoja1!$A$2:$J$68,10,FALSE), " - ")</f>
        <v xml:space="preserve"> - </v>
      </c>
    </row>
    <row r="113" spans="1:14" x14ac:dyDescent="0.3">
      <c r="A113" s="5">
        <v>35398</v>
      </c>
      <c r="B113" s="5" t="s">
        <v>12</v>
      </c>
      <c r="C113" s="6" t="s">
        <v>80</v>
      </c>
      <c r="D113" s="5" t="s">
        <v>26</v>
      </c>
      <c r="E113" s="13">
        <v>46180</v>
      </c>
      <c r="F113" s="5" t="s">
        <v>27</v>
      </c>
      <c r="G113" s="6" t="s">
        <v>765</v>
      </c>
      <c r="H113" s="6" t="s">
        <v>29</v>
      </c>
      <c r="I113" s="7" t="s">
        <v>417</v>
      </c>
      <c r="J113" s="5" t="s">
        <v>18</v>
      </c>
      <c r="K113" s="6" t="s">
        <v>31</v>
      </c>
      <c r="L113" s="6" t="s">
        <v>32</v>
      </c>
      <c r="M113" s="15">
        <v>46217</v>
      </c>
      <c r="N113" s="16" t="str">
        <f>IFERROR(VLOOKUP(A113,[1]Hoja1!$A$2:$J$68,10,FALSE), " - ")</f>
        <v xml:space="preserve"> - </v>
      </c>
    </row>
    <row r="114" spans="1:14" x14ac:dyDescent="0.3">
      <c r="A114" s="2">
        <v>35405</v>
      </c>
      <c r="B114" s="2" t="s">
        <v>12</v>
      </c>
      <c r="C114" s="3" t="s">
        <v>13</v>
      </c>
      <c r="D114" s="2" t="s">
        <v>26</v>
      </c>
      <c r="E114" s="12">
        <v>46180</v>
      </c>
      <c r="F114" s="2" t="s">
        <v>27</v>
      </c>
      <c r="G114" s="3" t="s">
        <v>241</v>
      </c>
      <c r="H114" s="3" t="s">
        <v>29</v>
      </c>
      <c r="I114" s="4" t="s">
        <v>242</v>
      </c>
      <c r="J114" s="2" t="s">
        <v>18</v>
      </c>
      <c r="K114" s="3" t="s">
        <v>243</v>
      </c>
      <c r="L114" s="3" t="s">
        <v>244</v>
      </c>
      <c r="M114" s="15">
        <v>46217</v>
      </c>
      <c r="N114" s="16" t="str">
        <f>IFERROR(VLOOKUP(A114,[1]Hoja1!$A$2:$J$68,10,FALSE), " - ")</f>
        <v xml:space="preserve"> - </v>
      </c>
    </row>
    <row r="115" spans="1:14" x14ac:dyDescent="0.3">
      <c r="A115" s="5">
        <v>35407</v>
      </c>
      <c r="B115" s="5" t="s">
        <v>12</v>
      </c>
      <c r="C115" s="6" t="s">
        <v>13</v>
      </c>
      <c r="D115" s="5" t="s">
        <v>14</v>
      </c>
      <c r="E115" s="13">
        <v>46180</v>
      </c>
      <c r="F115" s="5" t="s">
        <v>15</v>
      </c>
      <c r="G115" s="6" t="s">
        <v>368</v>
      </c>
      <c r="H115" s="6" t="s">
        <v>189</v>
      </c>
      <c r="I115" s="4" t="s">
        <v>493</v>
      </c>
      <c r="J115" s="5" t="s">
        <v>18</v>
      </c>
      <c r="K115" s="6" t="s">
        <v>310</v>
      </c>
      <c r="L115" s="6" t="s">
        <v>494</v>
      </c>
      <c r="M115" s="15">
        <v>46217</v>
      </c>
      <c r="N115" s="16" t="str">
        <f>IFERROR(VLOOKUP(A115,[1]Hoja1!$A$2:$J$68,10,FALSE), " - ")</f>
        <v xml:space="preserve"> - </v>
      </c>
    </row>
    <row r="116" spans="1:14" x14ac:dyDescent="0.3">
      <c r="A116" s="2">
        <v>35408</v>
      </c>
      <c r="B116" s="2" t="s">
        <v>12</v>
      </c>
      <c r="C116" s="3" t="s">
        <v>13</v>
      </c>
      <c r="D116" s="2" t="s">
        <v>26</v>
      </c>
      <c r="E116" s="12">
        <v>46180</v>
      </c>
      <c r="F116" s="2" t="s">
        <v>27</v>
      </c>
      <c r="G116" s="3" t="s">
        <v>339</v>
      </c>
      <c r="H116" s="3" t="s">
        <v>17</v>
      </c>
      <c r="I116" s="4" t="s">
        <v>710</v>
      </c>
      <c r="J116" s="2" t="s">
        <v>18</v>
      </c>
      <c r="K116" s="3" t="s">
        <v>711</v>
      </c>
      <c r="L116" s="3" t="s">
        <v>712</v>
      </c>
      <c r="M116" s="15">
        <v>46217</v>
      </c>
      <c r="N116" s="16" t="str">
        <f>IFERROR(VLOOKUP(A116,[1]Hoja1!$A$2:$J$68,10,FALSE), " - ")</f>
        <v xml:space="preserve"> - </v>
      </c>
    </row>
    <row r="117" spans="1:14" x14ac:dyDescent="0.3">
      <c r="A117" s="2">
        <v>35410</v>
      </c>
      <c r="B117" s="2" t="s">
        <v>12</v>
      </c>
      <c r="C117" s="3" t="s">
        <v>13</v>
      </c>
      <c r="D117" s="2" t="s">
        <v>26</v>
      </c>
      <c r="E117" s="12">
        <v>46180</v>
      </c>
      <c r="F117" s="2" t="s">
        <v>15</v>
      </c>
      <c r="G117" s="3" t="s">
        <v>495</v>
      </c>
      <c r="H117" s="3" t="s">
        <v>17</v>
      </c>
      <c r="I117" s="4" t="s">
        <v>123</v>
      </c>
      <c r="J117" s="2" t="s">
        <v>18</v>
      </c>
      <c r="K117" s="3" t="s">
        <v>496</v>
      </c>
      <c r="L117" s="3" t="s">
        <v>497</v>
      </c>
      <c r="M117" s="15">
        <v>46217</v>
      </c>
      <c r="N117" s="16" t="str">
        <f>IFERROR(VLOOKUP(A117,[1]Hoja1!$A$2:$J$68,10,FALSE), " - ")</f>
        <v xml:space="preserve"> - </v>
      </c>
    </row>
    <row r="118" spans="1:14" x14ac:dyDescent="0.3">
      <c r="A118" s="2">
        <v>35410</v>
      </c>
      <c r="B118" s="2" t="s">
        <v>12</v>
      </c>
      <c r="C118" s="3" t="s">
        <v>13</v>
      </c>
      <c r="D118" s="2" t="s">
        <v>26</v>
      </c>
      <c r="E118" s="12">
        <v>46180</v>
      </c>
      <c r="F118" s="2" t="s">
        <v>15</v>
      </c>
      <c r="G118" s="3" t="s">
        <v>495</v>
      </c>
      <c r="H118" s="3" t="s">
        <v>17</v>
      </c>
      <c r="I118" s="4" t="s">
        <v>873</v>
      </c>
      <c r="J118" s="2" t="s">
        <v>18</v>
      </c>
      <c r="K118" s="3" t="s">
        <v>35</v>
      </c>
      <c r="L118" s="3" t="s">
        <v>497</v>
      </c>
      <c r="M118" s="15">
        <v>46217</v>
      </c>
      <c r="N118" s="16" t="str">
        <f>IFERROR(VLOOKUP(A118,[1]Hoja1!$A$2:$J$68,10,FALSE), " - ")</f>
        <v xml:space="preserve"> - </v>
      </c>
    </row>
    <row r="119" spans="1:14" x14ac:dyDescent="0.3">
      <c r="A119" s="5">
        <v>35411</v>
      </c>
      <c r="B119" s="5" t="s">
        <v>12</v>
      </c>
      <c r="C119" s="6" t="s">
        <v>13</v>
      </c>
      <c r="D119" s="5" t="s">
        <v>26</v>
      </c>
      <c r="E119" s="13">
        <v>46180</v>
      </c>
      <c r="F119" s="5" t="s">
        <v>27</v>
      </c>
      <c r="G119" s="6" t="s">
        <v>365</v>
      </c>
      <c r="H119" s="6" t="s">
        <v>366</v>
      </c>
      <c r="I119" s="4" t="s">
        <v>362</v>
      </c>
      <c r="J119" s="5" t="s">
        <v>18</v>
      </c>
      <c r="K119" s="6" t="s">
        <v>35</v>
      </c>
      <c r="L119" s="6" t="s">
        <v>664</v>
      </c>
      <c r="M119" s="15">
        <v>46217</v>
      </c>
      <c r="N119" s="16" t="str">
        <f>IFERROR(VLOOKUP(A119,[1]Hoja1!$A$2:$J$68,10,FALSE), " - ")</f>
        <v xml:space="preserve"> - </v>
      </c>
    </row>
    <row r="120" spans="1:14" x14ac:dyDescent="0.3">
      <c r="A120" s="5">
        <v>35460</v>
      </c>
      <c r="B120" s="5" t="s">
        <v>12</v>
      </c>
      <c r="C120" s="6" t="s">
        <v>63</v>
      </c>
      <c r="D120" s="5" t="s">
        <v>26</v>
      </c>
      <c r="E120" s="13">
        <v>46180</v>
      </c>
      <c r="F120" s="5" t="s">
        <v>27</v>
      </c>
      <c r="G120" s="6" t="s">
        <v>503</v>
      </c>
      <c r="H120" s="6" t="s">
        <v>366</v>
      </c>
      <c r="I120" s="4" t="s">
        <v>216</v>
      </c>
      <c r="J120" s="5" t="s">
        <v>18</v>
      </c>
      <c r="K120" s="6" t="s">
        <v>35</v>
      </c>
      <c r="L120" s="6" t="s">
        <v>504</v>
      </c>
      <c r="M120" s="15">
        <v>46217</v>
      </c>
      <c r="N120" s="16" t="str">
        <f>IFERROR(VLOOKUP(A120,[1]Hoja1!$A$2:$J$68,10,FALSE), " - ")</f>
        <v xml:space="preserve"> - </v>
      </c>
    </row>
    <row r="121" spans="1:14" x14ac:dyDescent="0.3">
      <c r="A121" s="5">
        <v>35711</v>
      </c>
      <c r="B121" s="5" t="s">
        <v>12</v>
      </c>
      <c r="C121" s="6" t="s">
        <v>57</v>
      </c>
      <c r="D121" s="5" t="s">
        <v>26</v>
      </c>
      <c r="E121" s="13">
        <v>46180</v>
      </c>
      <c r="F121" s="5" t="s">
        <v>27</v>
      </c>
      <c r="G121" s="6" t="s">
        <v>353</v>
      </c>
      <c r="H121" s="6" t="s">
        <v>17</v>
      </c>
      <c r="I121" s="4" t="s">
        <v>604</v>
      </c>
      <c r="J121" s="5" t="s">
        <v>18</v>
      </c>
      <c r="K121" s="6" t="s">
        <v>169</v>
      </c>
      <c r="L121" s="6" t="s">
        <v>880</v>
      </c>
      <c r="M121" s="15">
        <v>46217</v>
      </c>
      <c r="N121" s="16" t="str">
        <f>IFERROR(VLOOKUP(A121,[1]Hoja1!$A$2:$J$68,10,FALSE), " - ")</f>
        <v xml:space="preserve"> - </v>
      </c>
    </row>
    <row r="122" spans="1:14" x14ac:dyDescent="0.3">
      <c r="A122" s="5">
        <v>35412</v>
      </c>
      <c r="B122" s="5" t="s">
        <v>62</v>
      </c>
      <c r="C122" s="6" t="s">
        <v>13</v>
      </c>
      <c r="D122" s="5" t="s">
        <v>26</v>
      </c>
      <c r="E122" s="13">
        <v>46181</v>
      </c>
      <c r="F122" s="5" t="s">
        <v>15</v>
      </c>
      <c r="G122" s="6" t="s">
        <v>498</v>
      </c>
      <c r="H122" s="6" t="s">
        <v>237</v>
      </c>
      <c r="I122" s="7" t="s">
        <v>499</v>
      </c>
      <c r="J122" s="5" t="s">
        <v>18</v>
      </c>
      <c r="K122" s="6" t="s">
        <v>31</v>
      </c>
      <c r="L122" s="6" t="s">
        <v>32</v>
      </c>
      <c r="M122" s="15">
        <v>46217</v>
      </c>
      <c r="N122" s="16" t="str">
        <f>IFERROR(VLOOKUP(A122,[1]Hoja1!$A$2:$J$68,10,FALSE), " - ")</f>
        <v xml:space="preserve"> - </v>
      </c>
    </row>
    <row r="123" spans="1:14" x14ac:dyDescent="0.3">
      <c r="A123" s="2">
        <v>35414</v>
      </c>
      <c r="B123" s="2" t="s">
        <v>12</v>
      </c>
      <c r="C123" s="3" t="s">
        <v>13</v>
      </c>
      <c r="D123" s="2" t="s">
        <v>26</v>
      </c>
      <c r="E123" s="12">
        <v>46181</v>
      </c>
      <c r="F123" s="2" t="s">
        <v>27</v>
      </c>
      <c r="G123" s="3" t="s">
        <v>109</v>
      </c>
      <c r="H123" s="3" t="s">
        <v>17</v>
      </c>
      <c r="I123" s="4" t="s">
        <v>110</v>
      </c>
      <c r="J123" s="2" t="s">
        <v>18</v>
      </c>
      <c r="K123" s="3" t="s">
        <v>111</v>
      </c>
      <c r="L123" s="3" t="s">
        <v>112</v>
      </c>
      <c r="M123" s="15">
        <v>46217</v>
      </c>
      <c r="N123" s="16" t="str">
        <f>IFERROR(VLOOKUP(A123,[1]Hoja1!$A$2:$J$68,10,FALSE), " - ")</f>
        <v xml:space="preserve"> - </v>
      </c>
    </row>
    <row r="124" spans="1:14" x14ac:dyDescent="0.3">
      <c r="A124" s="2">
        <v>35462</v>
      </c>
      <c r="B124" s="2" t="s">
        <v>12</v>
      </c>
      <c r="C124" s="3" t="s">
        <v>13</v>
      </c>
      <c r="D124" s="2" t="s">
        <v>26</v>
      </c>
      <c r="E124" s="12">
        <v>46181</v>
      </c>
      <c r="F124" s="2" t="s">
        <v>27</v>
      </c>
      <c r="G124" s="3" t="s">
        <v>410</v>
      </c>
      <c r="H124" s="3" t="s">
        <v>20</v>
      </c>
      <c r="I124" s="4" t="s">
        <v>411</v>
      </c>
      <c r="J124" s="2" t="s">
        <v>18</v>
      </c>
      <c r="K124" s="3" t="s">
        <v>412</v>
      </c>
      <c r="L124" s="3" t="s">
        <v>413</v>
      </c>
      <c r="M124" s="15">
        <v>46217</v>
      </c>
      <c r="N124" s="16" t="str">
        <f>IFERROR(VLOOKUP(A124,[1]Hoja1!$A$2:$J$68,10,FALSE), " - ")</f>
        <v xml:space="preserve"> - </v>
      </c>
    </row>
    <row r="125" spans="1:14" x14ac:dyDescent="0.3">
      <c r="A125" s="5">
        <v>35463</v>
      </c>
      <c r="B125" s="5" t="s">
        <v>33</v>
      </c>
      <c r="C125" s="6" t="s">
        <v>13</v>
      </c>
      <c r="D125" s="5" t="s">
        <v>26</v>
      </c>
      <c r="E125" s="13">
        <v>46181</v>
      </c>
      <c r="F125" s="5" t="s">
        <v>27</v>
      </c>
      <c r="G125" s="6" t="s">
        <v>410</v>
      </c>
      <c r="H125" s="6" t="s">
        <v>20</v>
      </c>
      <c r="I125" s="4" t="s">
        <v>138</v>
      </c>
      <c r="J125" s="5" t="s">
        <v>18</v>
      </c>
      <c r="K125" s="6" t="s">
        <v>139</v>
      </c>
      <c r="L125" s="6" t="s">
        <v>255</v>
      </c>
      <c r="M125" s="15">
        <v>46217</v>
      </c>
      <c r="N125" s="16" t="str">
        <f>IFERROR(VLOOKUP(A125,[1]Hoja1!$A$2:$J$68,10,FALSE), " - ")</f>
        <v xml:space="preserve"> - </v>
      </c>
    </row>
    <row r="126" spans="1:14" x14ac:dyDescent="0.3">
      <c r="A126" s="2">
        <v>35464</v>
      </c>
      <c r="B126" s="2" t="s">
        <v>33</v>
      </c>
      <c r="C126" s="3" t="s">
        <v>13</v>
      </c>
      <c r="D126" s="2" t="s">
        <v>26</v>
      </c>
      <c r="E126" s="12">
        <v>46181</v>
      </c>
      <c r="F126" s="2" t="s">
        <v>27</v>
      </c>
      <c r="G126" s="3" t="s">
        <v>410</v>
      </c>
      <c r="H126" s="3" t="s">
        <v>20</v>
      </c>
      <c r="I126" s="4" t="s">
        <v>34</v>
      </c>
      <c r="J126" s="2" t="s">
        <v>18</v>
      </c>
      <c r="K126" s="3" t="s">
        <v>35</v>
      </c>
      <c r="L126" s="3" t="s">
        <v>36</v>
      </c>
      <c r="M126" s="15">
        <v>46217</v>
      </c>
      <c r="N126" s="16" t="str">
        <f>IFERROR(VLOOKUP(A126,[1]Hoja1!$A$2:$J$68,10,FALSE), " - ")</f>
        <v xml:space="preserve"> - </v>
      </c>
    </row>
    <row r="127" spans="1:14" x14ac:dyDescent="0.3">
      <c r="A127" s="2">
        <v>35470</v>
      </c>
      <c r="B127" s="2" t="s">
        <v>33</v>
      </c>
      <c r="C127" s="3" t="s">
        <v>13</v>
      </c>
      <c r="D127" s="2" t="s">
        <v>26</v>
      </c>
      <c r="E127" s="12">
        <v>46181</v>
      </c>
      <c r="F127" s="2" t="s">
        <v>27</v>
      </c>
      <c r="G127" s="3" t="s">
        <v>694</v>
      </c>
      <c r="H127" s="3" t="s">
        <v>17</v>
      </c>
      <c r="I127" s="4" t="s">
        <v>138</v>
      </c>
      <c r="J127" s="2" t="s">
        <v>18</v>
      </c>
      <c r="K127" s="3" t="s">
        <v>139</v>
      </c>
      <c r="L127" s="3" t="s">
        <v>255</v>
      </c>
      <c r="M127" s="15">
        <v>46217</v>
      </c>
      <c r="N127" s="16" t="str">
        <f>IFERROR(VLOOKUP(A127,[1]Hoja1!$A$2:$J$68,10,FALSE), " - ")</f>
        <v xml:space="preserve"> - </v>
      </c>
    </row>
    <row r="128" spans="1:14" x14ac:dyDescent="0.3">
      <c r="A128" s="2">
        <v>35471</v>
      </c>
      <c r="B128" s="2" t="s">
        <v>33</v>
      </c>
      <c r="C128" s="3" t="s">
        <v>13</v>
      </c>
      <c r="D128" s="2" t="s">
        <v>26</v>
      </c>
      <c r="E128" s="12">
        <v>46181</v>
      </c>
      <c r="F128" s="2" t="s">
        <v>27</v>
      </c>
      <c r="G128" s="3" t="s">
        <v>694</v>
      </c>
      <c r="H128" s="3" t="s">
        <v>17</v>
      </c>
      <c r="I128" s="4" t="s">
        <v>34</v>
      </c>
      <c r="J128" s="2" t="s">
        <v>18</v>
      </c>
      <c r="K128" s="3" t="s">
        <v>35</v>
      </c>
      <c r="L128" s="3" t="s">
        <v>364</v>
      </c>
      <c r="M128" s="15">
        <v>46217</v>
      </c>
      <c r="N128" s="16" t="str">
        <f>IFERROR(VLOOKUP(A128,[1]Hoja1!$A$2:$J$68,10,FALSE), " - ")</f>
        <v xml:space="preserve"> - </v>
      </c>
    </row>
    <row r="129" spans="1:14" x14ac:dyDescent="0.3">
      <c r="A129" s="5">
        <v>35478</v>
      </c>
      <c r="B129" s="5" t="s">
        <v>12</v>
      </c>
      <c r="C129" s="6" t="s">
        <v>57</v>
      </c>
      <c r="D129" s="5" t="s">
        <v>26</v>
      </c>
      <c r="E129" s="13">
        <v>46181</v>
      </c>
      <c r="F129" s="5" t="s">
        <v>27</v>
      </c>
      <c r="G129" s="6" t="s">
        <v>229</v>
      </c>
      <c r="H129" s="6" t="s">
        <v>130</v>
      </c>
      <c r="I129" s="7" t="s">
        <v>250</v>
      </c>
      <c r="J129" s="5" t="s">
        <v>18</v>
      </c>
      <c r="K129" s="6" t="s">
        <v>31</v>
      </c>
      <c r="L129" s="6" t="s">
        <v>32</v>
      </c>
      <c r="M129" s="15">
        <v>46217</v>
      </c>
      <c r="N129" s="16" t="str">
        <f>IFERROR(VLOOKUP(A129,[1]Hoja1!$A$2:$J$68,10,FALSE), " - ")</f>
        <v xml:space="preserve"> - </v>
      </c>
    </row>
    <row r="130" spans="1:14" x14ac:dyDescent="0.3">
      <c r="A130" s="2">
        <v>35479</v>
      </c>
      <c r="B130" s="2" t="s">
        <v>12</v>
      </c>
      <c r="C130" s="3" t="s">
        <v>57</v>
      </c>
      <c r="D130" s="2" t="s">
        <v>26</v>
      </c>
      <c r="E130" s="12">
        <v>46181</v>
      </c>
      <c r="F130" s="2" t="s">
        <v>27</v>
      </c>
      <c r="G130" s="3" t="s">
        <v>249</v>
      </c>
      <c r="H130" s="3" t="s">
        <v>130</v>
      </c>
      <c r="I130" s="7" t="s">
        <v>250</v>
      </c>
      <c r="J130" s="2" t="s">
        <v>18</v>
      </c>
      <c r="K130" s="3" t="s">
        <v>31</v>
      </c>
      <c r="L130" s="3" t="s">
        <v>32</v>
      </c>
      <c r="M130" s="15">
        <v>46217</v>
      </c>
      <c r="N130" s="16" t="str">
        <f>IFERROR(VLOOKUP(A130,[1]Hoja1!$A$2:$J$68,10,FALSE), " - ")</f>
        <v xml:space="preserve"> - </v>
      </c>
    </row>
    <row r="131" spans="1:14" x14ac:dyDescent="0.3">
      <c r="A131" s="5">
        <v>35480</v>
      </c>
      <c r="B131" s="5" t="s">
        <v>12</v>
      </c>
      <c r="C131" s="6" t="s">
        <v>57</v>
      </c>
      <c r="D131" s="5" t="s">
        <v>26</v>
      </c>
      <c r="E131" s="13">
        <v>46181</v>
      </c>
      <c r="F131" s="5" t="s">
        <v>27</v>
      </c>
      <c r="G131" s="6" t="s">
        <v>507</v>
      </c>
      <c r="H131" s="6" t="s">
        <v>130</v>
      </c>
      <c r="I131" s="7" t="s">
        <v>250</v>
      </c>
      <c r="J131" s="5" t="s">
        <v>18</v>
      </c>
      <c r="K131" s="6" t="s">
        <v>31</v>
      </c>
      <c r="L131" s="6" t="s">
        <v>32</v>
      </c>
      <c r="M131" s="15">
        <v>46217</v>
      </c>
      <c r="N131" s="16" t="str">
        <f>IFERROR(VLOOKUP(A131,[1]Hoja1!$A$2:$J$68,10,FALSE), " - ")</f>
        <v xml:space="preserve"> - </v>
      </c>
    </row>
    <row r="132" spans="1:14" x14ac:dyDescent="0.3">
      <c r="A132" s="5">
        <v>35481</v>
      </c>
      <c r="B132" s="5" t="s">
        <v>12</v>
      </c>
      <c r="C132" s="6" t="s">
        <v>57</v>
      </c>
      <c r="D132" s="5" t="s">
        <v>26</v>
      </c>
      <c r="E132" s="13">
        <v>46181</v>
      </c>
      <c r="F132" s="5" t="s">
        <v>27</v>
      </c>
      <c r="G132" s="6" t="s">
        <v>668</v>
      </c>
      <c r="H132" s="6" t="s">
        <v>237</v>
      </c>
      <c r="I132" s="7" t="s">
        <v>250</v>
      </c>
      <c r="J132" s="5" t="s">
        <v>18</v>
      </c>
      <c r="K132" s="6" t="s">
        <v>31</v>
      </c>
      <c r="L132" s="6" t="s">
        <v>32</v>
      </c>
      <c r="M132" s="15">
        <v>46217</v>
      </c>
      <c r="N132" s="16" t="str">
        <f>IFERROR(VLOOKUP(A132,[1]Hoja1!$A$2:$J$68,10,FALSE), " - ")</f>
        <v xml:space="preserve"> - </v>
      </c>
    </row>
    <row r="133" spans="1:14" x14ac:dyDescent="0.3">
      <c r="A133" s="2">
        <v>35482</v>
      </c>
      <c r="B133" s="2" t="s">
        <v>12</v>
      </c>
      <c r="C133" s="3" t="s">
        <v>57</v>
      </c>
      <c r="D133" s="2" t="s">
        <v>26</v>
      </c>
      <c r="E133" s="12">
        <v>46181</v>
      </c>
      <c r="F133" s="2" t="s">
        <v>27</v>
      </c>
      <c r="G133" s="3" t="s">
        <v>705</v>
      </c>
      <c r="H133" s="3" t="s">
        <v>237</v>
      </c>
      <c r="I133" s="7" t="s">
        <v>250</v>
      </c>
      <c r="J133" s="2" t="s">
        <v>18</v>
      </c>
      <c r="K133" s="3" t="s">
        <v>31</v>
      </c>
      <c r="L133" s="3" t="s">
        <v>32</v>
      </c>
      <c r="M133" s="15">
        <v>46217</v>
      </c>
      <c r="N133" s="16" t="str">
        <f>IFERROR(VLOOKUP(A133,[1]Hoja1!$A$2:$J$68,10,FALSE), " - ")</f>
        <v xml:space="preserve"> - </v>
      </c>
    </row>
    <row r="134" spans="1:14" x14ac:dyDescent="0.3">
      <c r="A134" s="5">
        <v>35483</v>
      </c>
      <c r="B134" s="5" t="s">
        <v>12</v>
      </c>
      <c r="C134" s="6" t="s">
        <v>57</v>
      </c>
      <c r="D134" s="5" t="s">
        <v>26</v>
      </c>
      <c r="E134" s="13">
        <v>46181</v>
      </c>
      <c r="F134" s="5" t="s">
        <v>27</v>
      </c>
      <c r="G134" s="6" t="s">
        <v>147</v>
      </c>
      <c r="H134" s="6" t="s">
        <v>130</v>
      </c>
      <c r="I134" s="7" t="s">
        <v>250</v>
      </c>
      <c r="J134" s="5" t="s">
        <v>18</v>
      </c>
      <c r="K134" s="6" t="s">
        <v>31</v>
      </c>
      <c r="L134" s="6" t="s">
        <v>32</v>
      </c>
      <c r="M134" s="15">
        <v>46217</v>
      </c>
      <c r="N134" s="16" t="str">
        <f>IFERROR(VLOOKUP(A134,[1]Hoja1!$A$2:$J$68,10,FALSE), " - ")</f>
        <v xml:space="preserve"> - </v>
      </c>
    </row>
    <row r="135" spans="1:14" x14ac:dyDescent="0.3">
      <c r="A135" s="2">
        <v>35484</v>
      </c>
      <c r="B135" s="2" t="s">
        <v>12</v>
      </c>
      <c r="C135" s="3" t="s">
        <v>57</v>
      </c>
      <c r="D135" s="2" t="s">
        <v>26</v>
      </c>
      <c r="E135" s="12">
        <v>46181</v>
      </c>
      <c r="F135" s="2" t="s">
        <v>27</v>
      </c>
      <c r="G135" s="3" t="s">
        <v>508</v>
      </c>
      <c r="H135" s="3" t="s">
        <v>237</v>
      </c>
      <c r="I135" s="7" t="s">
        <v>250</v>
      </c>
      <c r="J135" s="2" t="s">
        <v>18</v>
      </c>
      <c r="K135" s="3" t="s">
        <v>31</v>
      </c>
      <c r="L135" s="3" t="s">
        <v>32</v>
      </c>
      <c r="M135" s="15">
        <v>46217</v>
      </c>
      <c r="N135" s="16" t="str">
        <f>IFERROR(VLOOKUP(A135,[1]Hoja1!$A$2:$J$68,10,FALSE), " - ")</f>
        <v xml:space="preserve"> - </v>
      </c>
    </row>
    <row r="136" spans="1:14" x14ac:dyDescent="0.3">
      <c r="A136" s="5">
        <v>35486</v>
      </c>
      <c r="B136" s="5" t="s">
        <v>12</v>
      </c>
      <c r="C136" s="6" t="s">
        <v>57</v>
      </c>
      <c r="D136" s="5" t="s">
        <v>26</v>
      </c>
      <c r="E136" s="13">
        <v>46181</v>
      </c>
      <c r="F136" s="5" t="s">
        <v>27</v>
      </c>
      <c r="G136" s="6" t="s">
        <v>817</v>
      </c>
      <c r="H136" s="6" t="s">
        <v>130</v>
      </c>
      <c r="I136" s="7" t="s">
        <v>250</v>
      </c>
      <c r="J136" s="5" t="s">
        <v>18</v>
      </c>
      <c r="K136" s="6" t="s">
        <v>31</v>
      </c>
      <c r="L136" s="6" t="s">
        <v>32</v>
      </c>
      <c r="M136" s="15">
        <v>46217</v>
      </c>
      <c r="N136" s="16" t="str">
        <f>IFERROR(VLOOKUP(A136,[1]Hoja1!$A$2:$J$68,10,FALSE), " - ")</f>
        <v xml:space="preserve"> - </v>
      </c>
    </row>
    <row r="137" spans="1:14" x14ac:dyDescent="0.3">
      <c r="A137" s="2">
        <v>35487</v>
      </c>
      <c r="B137" s="2" t="s">
        <v>12</v>
      </c>
      <c r="C137" s="3" t="s">
        <v>57</v>
      </c>
      <c r="D137" s="2" t="s">
        <v>26</v>
      </c>
      <c r="E137" s="12">
        <v>46181</v>
      </c>
      <c r="F137" s="10" t="s">
        <v>27</v>
      </c>
      <c r="G137" s="3" t="s">
        <v>251</v>
      </c>
      <c r="H137" s="3" t="s">
        <v>130</v>
      </c>
      <c r="I137" s="7" t="s">
        <v>250</v>
      </c>
      <c r="J137" s="2" t="s">
        <v>18</v>
      </c>
      <c r="K137" s="3" t="s">
        <v>31</v>
      </c>
      <c r="L137" s="3" t="s">
        <v>32</v>
      </c>
      <c r="M137" s="15">
        <v>46217</v>
      </c>
      <c r="N137" s="16" t="str">
        <f>IFERROR(VLOOKUP(A137,[1]Hoja1!$A$2:$J$68,10,FALSE), " - ")</f>
        <v xml:space="preserve"> - </v>
      </c>
    </row>
    <row r="138" spans="1:14" x14ac:dyDescent="0.3">
      <c r="A138" s="2">
        <v>35517</v>
      </c>
      <c r="B138" s="2" t="s">
        <v>33</v>
      </c>
      <c r="C138" s="3" t="s">
        <v>63</v>
      </c>
      <c r="D138" s="2" t="s">
        <v>26</v>
      </c>
      <c r="E138" s="12">
        <v>46181</v>
      </c>
      <c r="F138" s="2" t="s">
        <v>27</v>
      </c>
      <c r="G138" s="3" t="s">
        <v>245</v>
      </c>
      <c r="H138" s="3" t="s">
        <v>189</v>
      </c>
      <c r="I138" s="4" t="s">
        <v>350</v>
      </c>
      <c r="J138" s="2" t="s">
        <v>18</v>
      </c>
      <c r="K138" s="3" t="s">
        <v>35</v>
      </c>
      <c r="L138" s="3" t="s">
        <v>351</v>
      </c>
      <c r="M138" s="15">
        <v>46217</v>
      </c>
      <c r="N138" s="16" t="str">
        <f>IFERROR(VLOOKUP(A138,[1]Hoja1!$A$2:$J$68,10,FALSE), " - ")</f>
        <v xml:space="preserve"> - </v>
      </c>
    </row>
    <row r="139" spans="1:14" x14ac:dyDescent="0.3">
      <c r="A139" s="5">
        <v>35518</v>
      </c>
      <c r="B139" s="5" t="s">
        <v>33</v>
      </c>
      <c r="C139" s="6" t="s">
        <v>63</v>
      </c>
      <c r="D139" s="5" t="s">
        <v>26</v>
      </c>
      <c r="E139" s="13">
        <v>46181</v>
      </c>
      <c r="F139" s="5" t="s">
        <v>27</v>
      </c>
      <c r="G139" s="6" t="s">
        <v>245</v>
      </c>
      <c r="H139" s="6" t="s">
        <v>189</v>
      </c>
      <c r="I139" s="4" t="s">
        <v>509</v>
      </c>
      <c r="J139" s="5" t="s">
        <v>18</v>
      </c>
      <c r="K139" s="6" t="s">
        <v>510</v>
      </c>
      <c r="L139" s="6" t="s">
        <v>511</v>
      </c>
      <c r="M139" s="15">
        <v>46217</v>
      </c>
      <c r="N139" s="16" t="str">
        <f>IFERROR(VLOOKUP(A139,[1]Hoja1!$A$2:$J$68,10,FALSE), " - ")</f>
        <v xml:space="preserve"> - </v>
      </c>
    </row>
    <row r="140" spans="1:14" x14ac:dyDescent="0.3">
      <c r="A140" s="2">
        <v>35519</v>
      </c>
      <c r="B140" s="2" t="s">
        <v>33</v>
      </c>
      <c r="C140" s="3" t="s">
        <v>63</v>
      </c>
      <c r="D140" s="2" t="s">
        <v>26</v>
      </c>
      <c r="E140" s="12">
        <v>46181</v>
      </c>
      <c r="F140" s="2" t="s">
        <v>27</v>
      </c>
      <c r="G140" s="3" t="s">
        <v>543</v>
      </c>
      <c r="H140" s="3" t="s">
        <v>38</v>
      </c>
      <c r="I140" s="4" t="s">
        <v>138</v>
      </c>
      <c r="J140" s="2" t="s">
        <v>18</v>
      </c>
      <c r="K140" s="3" t="s">
        <v>139</v>
      </c>
      <c r="L140" s="3" t="s">
        <v>630</v>
      </c>
      <c r="M140" s="15">
        <v>46217</v>
      </c>
      <c r="N140" s="16" t="str">
        <f>IFERROR(VLOOKUP(A140,[1]Hoja1!$A$2:$J$68,10,FALSE), " - ")</f>
        <v xml:space="preserve"> - </v>
      </c>
    </row>
    <row r="141" spans="1:14" x14ac:dyDescent="0.3">
      <c r="A141" s="5">
        <v>35520</v>
      </c>
      <c r="B141" s="5" t="s">
        <v>33</v>
      </c>
      <c r="C141" s="6" t="s">
        <v>63</v>
      </c>
      <c r="D141" s="5" t="s">
        <v>26</v>
      </c>
      <c r="E141" s="13">
        <v>46181</v>
      </c>
      <c r="F141" s="5" t="s">
        <v>27</v>
      </c>
      <c r="G141" s="6" t="s">
        <v>543</v>
      </c>
      <c r="H141" s="6" t="s">
        <v>38</v>
      </c>
      <c r="I141" s="4" t="s">
        <v>34</v>
      </c>
      <c r="J141" s="5" t="s">
        <v>18</v>
      </c>
      <c r="K141" s="6" t="s">
        <v>35</v>
      </c>
      <c r="L141" s="6" t="s">
        <v>715</v>
      </c>
      <c r="M141" s="15">
        <v>46217</v>
      </c>
      <c r="N141" s="16" t="str">
        <f>IFERROR(VLOOKUP(A141,[1]Hoja1!$A$2:$J$68,10,FALSE), " - ")</f>
        <v xml:space="preserve"> - </v>
      </c>
    </row>
    <row r="142" spans="1:14" x14ac:dyDescent="0.3">
      <c r="A142" s="2">
        <v>35527</v>
      </c>
      <c r="B142" s="2" t="s">
        <v>12</v>
      </c>
      <c r="C142" s="3" t="s">
        <v>63</v>
      </c>
      <c r="D142" s="2" t="s">
        <v>26</v>
      </c>
      <c r="E142" s="12">
        <v>46181</v>
      </c>
      <c r="F142" s="2" t="s">
        <v>27</v>
      </c>
      <c r="G142" s="3" t="s">
        <v>122</v>
      </c>
      <c r="H142" s="3" t="s">
        <v>77</v>
      </c>
      <c r="I142" s="4" t="s">
        <v>123</v>
      </c>
      <c r="J142" s="2" t="s">
        <v>18</v>
      </c>
      <c r="K142" s="3" t="s">
        <v>35</v>
      </c>
      <c r="L142" s="3" t="s">
        <v>124</v>
      </c>
      <c r="M142" s="15">
        <v>46217</v>
      </c>
      <c r="N142" s="16" t="str">
        <f>IFERROR(VLOOKUP(A142,[1]Hoja1!$A$2:$J$68,10,FALSE), " - ")</f>
        <v xml:space="preserve"> - </v>
      </c>
    </row>
    <row r="143" spans="1:14" x14ac:dyDescent="0.3">
      <c r="A143" s="2">
        <v>35528</v>
      </c>
      <c r="B143" s="2" t="s">
        <v>12</v>
      </c>
      <c r="C143" s="3" t="s">
        <v>63</v>
      </c>
      <c r="D143" s="2" t="s">
        <v>26</v>
      </c>
      <c r="E143" s="12">
        <v>46181</v>
      </c>
      <c r="F143" s="2" t="s">
        <v>27</v>
      </c>
      <c r="G143" s="3" t="s">
        <v>586</v>
      </c>
      <c r="H143" s="3" t="s">
        <v>77</v>
      </c>
      <c r="I143" s="4" t="s">
        <v>123</v>
      </c>
      <c r="J143" s="2" t="s">
        <v>18</v>
      </c>
      <c r="K143" s="3" t="s">
        <v>35</v>
      </c>
      <c r="L143" s="3" t="s">
        <v>587</v>
      </c>
      <c r="M143" s="15">
        <v>46217</v>
      </c>
      <c r="N143" s="16" t="str">
        <f>IFERROR(VLOOKUP(A143,[1]Hoja1!$A$2:$J$68,10,FALSE), " - ")</f>
        <v xml:space="preserve"> - </v>
      </c>
    </row>
    <row r="144" spans="1:14" x14ac:dyDescent="0.3">
      <c r="A144" s="5">
        <v>35473</v>
      </c>
      <c r="B144" s="5" t="s">
        <v>104</v>
      </c>
      <c r="C144" s="6" t="s">
        <v>13</v>
      </c>
      <c r="D144" s="5" t="s">
        <v>26</v>
      </c>
      <c r="E144" s="13">
        <v>46182</v>
      </c>
      <c r="F144" s="5" t="s">
        <v>27</v>
      </c>
      <c r="G144" s="6" t="s">
        <v>361</v>
      </c>
      <c r="H144" s="6" t="s">
        <v>47</v>
      </c>
      <c r="I144" s="4" t="s">
        <v>336</v>
      </c>
      <c r="J144" s="5" t="s">
        <v>18</v>
      </c>
      <c r="K144" s="6" t="s">
        <v>35</v>
      </c>
      <c r="L144" s="6" t="s">
        <v>874</v>
      </c>
      <c r="M144" s="15">
        <v>46217</v>
      </c>
      <c r="N144" s="16" t="str">
        <f>IFERROR(VLOOKUP(A144,[1]Hoja1!$A$2:$J$68,10,FALSE), " - ")</f>
        <v xml:space="preserve"> - </v>
      </c>
    </row>
    <row r="145" spans="1:14" x14ac:dyDescent="0.3">
      <c r="A145" s="2">
        <v>35475</v>
      </c>
      <c r="B145" s="2" t="s">
        <v>12</v>
      </c>
      <c r="C145" s="3" t="s">
        <v>13</v>
      </c>
      <c r="D145" s="2" t="s">
        <v>26</v>
      </c>
      <c r="E145" s="12">
        <v>46182</v>
      </c>
      <c r="F145" s="2" t="s">
        <v>27</v>
      </c>
      <c r="G145" s="3" t="s">
        <v>116</v>
      </c>
      <c r="H145" s="3" t="s">
        <v>117</v>
      </c>
      <c r="I145" s="4" t="s">
        <v>118</v>
      </c>
      <c r="J145" s="2" t="s">
        <v>18</v>
      </c>
      <c r="K145" s="3" t="s">
        <v>44</v>
      </c>
      <c r="L145" s="3" t="s">
        <v>119</v>
      </c>
      <c r="M145" s="15">
        <v>46217</v>
      </c>
      <c r="N145" s="16" t="str">
        <f>IFERROR(VLOOKUP(A145,[1]Hoja1!$A$2:$J$68,10,FALSE), " - ")</f>
        <v xml:space="preserve"> - </v>
      </c>
    </row>
    <row r="146" spans="1:14" x14ac:dyDescent="0.3">
      <c r="A146" s="2">
        <v>35475</v>
      </c>
      <c r="B146" s="2" t="s">
        <v>12</v>
      </c>
      <c r="C146" s="3" t="s">
        <v>13</v>
      </c>
      <c r="D146" s="2" t="s">
        <v>26</v>
      </c>
      <c r="E146" s="12">
        <v>46182</v>
      </c>
      <c r="F146" s="2" t="s">
        <v>27</v>
      </c>
      <c r="G146" s="3" t="s">
        <v>116</v>
      </c>
      <c r="H146" s="3" t="s">
        <v>117</v>
      </c>
      <c r="I146" s="4" t="s">
        <v>348</v>
      </c>
      <c r="J146" s="2" t="s">
        <v>18</v>
      </c>
      <c r="K146" s="3" t="s">
        <v>151</v>
      </c>
      <c r="L146" s="3" t="s">
        <v>119</v>
      </c>
      <c r="M146" s="15">
        <v>46217</v>
      </c>
      <c r="N146" s="16" t="str">
        <f>IFERROR(VLOOKUP(A146,[1]Hoja1!$A$2:$J$68,10,FALSE), " - ")</f>
        <v xml:space="preserve"> - </v>
      </c>
    </row>
    <row r="147" spans="1:14" x14ac:dyDescent="0.3">
      <c r="A147" s="5">
        <v>35475</v>
      </c>
      <c r="B147" s="5" t="s">
        <v>12</v>
      </c>
      <c r="C147" s="6" t="s">
        <v>13</v>
      </c>
      <c r="D147" s="5" t="s">
        <v>26</v>
      </c>
      <c r="E147" s="13">
        <v>46182</v>
      </c>
      <c r="F147" s="5" t="s">
        <v>27</v>
      </c>
      <c r="G147" s="6" t="s">
        <v>116</v>
      </c>
      <c r="H147" s="6" t="s">
        <v>117</v>
      </c>
      <c r="I147" s="4" t="s">
        <v>414</v>
      </c>
      <c r="J147" s="5" t="s">
        <v>18</v>
      </c>
      <c r="K147" s="6" t="s">
        <v>44</v>
      </c>
      <c r="L147" s="6" t="s">
        <v>119</v>
      </c>
      <c r="M147" s="15">
        <v>46217</v>
      </c>
      <c r="N147" s="16" t="str">
        <f>IFERROR(VLOOKUP(A147,[1]Hoja1!$A$2:$J$68,10,FALSE), " - ")</f>
        <v xml:space="preserve"> - </v>
      </c>
    </row>
    <row r="148" spans="1:14" x14ac:dyDescent="0.3">
      <c r="A148" s="2">
        <v>35475</v>
      </c>
      <c r="B148" s="2" t="s">
        <v>12</v>
      </c>
      <c r="C148" s="3" t="s">
        <v>13</v>
      </c>
      <c r="D148" s="2" t="s">
        <v>26</v>
      </c>
      <c r="E148" s="12">
        <v>46182</v>
      </c>
      <c r="F148" s="2" t="s">
        <v>27</v>
      </c>
      <c r="G148" s="3" t="s">
        <v>116</v>
      </c>
      <c r="H148" s="3" t="s">
        <v>117</v>
      </c>
      <c r="I148" s="4" t="s">
        <v>505</v>
      </c>
      <c r="J148" s="2" t="s">
        <v>18</v>
      </c>
      <c r="K148" s="3" t="s">
        <v>506</v>
      </c>
      <c r="L148" s="3" t="s">
        <v>119</v>
      </c>
      <c r="M148" s="15">
        <v>46217</v>
      </c>
      <c r="N148" s="16" t="str">
        <f>IFERROR(VLOOKUP(A148,[1]Hoja1!$A$2:$J$68,10,FALSE), " - ")</f>
        <v xml:space="preserve"> - </v>
      </c>
    </row>
    <row r="149" spans="1:14" x14ac:dyDescent="0.3">
      <c r="A149" s="2">
        <v>35475</v>
      </c>
      <c r="B149" s="2" t="s">
        <v>12</v>
      </c>
      <c r="C149" s="3" t="s">
        <v>13</v>
      </c>
      <c r="D149" s="2" t="s">
        <v>26</v>
      </c>
      <c r="E149" s="12">
        <v>46182</v>
      </c>
      <c r="F149" s="2" t="s">
        <v>27</v>
      </c>
      <c r="G149" s="3" t="s">
        <v>116</v>
      </c>
      <c r="H149" s="3" t="s">
        <v>117</v>
      </c>
      <c r="I149" s="4" t="s">
        <v>665</v>
      </c>
      <c r="J149" s="2" t="s">
        <v>18</v>
      </c>
      <c r="K149" s="3" t="s">
        <v>666</v>
      </c>
      <c r="L149" s="3" t="s">
        <v>119</v>
      </c>
      <c r="M149" s="15">
        <v>46217</v>
      </c>
      <c r="N149" s="16" t="str">
        <f>IFERROR(VLOOKUP(A149,[1]Hoja1!$A$2:$J$68,10,FALSE), " - ")</f>
        <v xml:space="preserve"> - </v>
      </c>
    </row>
    <row r="150" spans="1:14" x14ac:dyDescent="0.3">
      <c r="A150" s="5">
        <v>35475</v>
      </c>
      <c r="B150" s="5" t="s">
        <v>12</v>
      </c>
      <c r="C150" s="6" t="s">
        <v>13</v>
      </c>
      <c r="D150" s="5" t="s">
        <v>26</v>
      </c>
      <c r="E150" s="13">
        <v>46182</v>
      </c>
      <c r="F150" s="5" t="s">
        <v>27</v>
      </c>
      <c r="G150" s="6" t="s">
        <v>116</v>
      </c>
      <c r="H150" s="6" t="s">
        <v>117</v>
      </c>
      <c r="I150" s="4" t="s">
        <v>667</v>
      </c>
      <c r="J150" s="5" t="s">
        <v>18</v>
      </c>
      <c r="K150" s="6" t="s">
        <v>151</v>
      </c>
      <c r="L150" s="6" t="s">
        <v>119</v>
      </c>
      <c r="M150" s="15">
        <v>46217</v>
      </c>
      <c r="N150" s="16" t="str">
        <f>IFERROR(VLOOKUP(A150,[1]Hoja1!$A$2:$J$68,10,FALSE), " - ")</f>
        <v xml:space="preserve"> - </v>
      </c>
    </row>
    <row r="151" spans="1:14" x14ac:dyDescent="0.3">
      <c r="A151" s="2">
        <v>35475</v>
      </c>
      <c r="B151" s="2" t="s">
        <v>12</v>
      </c>
      <c r="C151" s="3" t="s">
        <v>13</v>
      </c>
      <c r="D151" s="2" t="s">
        <v>26</v>
      </c>
      <c r="E151" s="12">
        <v>46182</v>
      </c>
      <c r="F151" s="2" t="s">
        <v>27</v>
      </c>
      <c r="G151" s="3" t="s">
        <v>116</v>
      </c>
      <c r="H151" s="3" t="s">
        <v>117</v>
      </c>
      <c r="I151" s="4" t="s">
        <v>400</v>
      </c>
      <c r="J151" s="2" t="s">
        <v>18</v>
      </c>
      <c r="K151" s="3" t="s">
        <v>35</v>
      </c>
      <c r="L151" s="3" t="s">
        <v>119</v>
      </c>
      <c r="M151" s="15">
        <v>46217</v>
      </c>
      <c r="N151" s="16" t="str">
        <f>IFERROR(VLOOKUP(A151,[1]Hoja1!$A$2:$J$68,10,FALSE), " - ")</f>
        <v xml:space="preserve"> - </v>
      </c>
    </row>
    <row r="152" spans="1:14" x14ac:dyDescent="0.3">
      <c r="A152" s="2">
        <v>35475</v>
      </c>
      <c r="B152" s="2" t="s">
        <v>12</v>
      </c>
      <c r="C152" s="3" t="s">
        <v>13</v>
      </c>
      <c r="D152" s="2" t="s">
        <v>26</v>
      </c>
      <c r="E152" s="12">
        <v>46182</v>
      </c>
      <c r="F152" s="2" t="s">
        <v>27</v>
      </c>
      <c r="G152" s="3" t="s">
        <v>116</v>
      </c>
      <c r="H152" s="3" t="s">
        <v>117</v>
      </c>
      <c r="I152" s="4" t="s">
        <v>714</v>
      </c>
      <c r="J152" s="2" t="s">
        <v>18</v>
      </c>
      <c r="K152" s="3" t="s">
        <v>666</v>
      </c>
      <c r="L152" s="3" t="s">
        <v>119</v>
      </c>
      <c r="M152" s="15">
        <v>46217</v>
      </c>
      <c r="N152" s="16" t="str">
        <f>IFERROR(VLOOKUP(A152,[1]Hoja1!$A$2:$J$68,10,FALSE), " - ")</f>
        <v xml:space="preserve"> - </v>
      </c>
    </row>
    <row r="153" spans="1:14" x14ac:dyDescent="0.3">
      <c r="A153" s="2">
        <v>35485</v>
      </c>
      <c r="B153" s="2" t="s">
        <v>12</v>
      </c>
      <c r="C153" s="3" t="s">
        <v>57</v>
      </c>
      <c r="D153" s="2" t="s">
        <v>26</v>
      </c>
      <c r="E153" s="12">
        <v>46182</v>
      </c>
      <c r="F153" s="2" t="s">
        <v>27</v>
      </c>
      <c r="G153" s="3" t="s">
        <v>669</v>
      </c>
      <c r="H153" s="3" t="s">
        <v>237</v>
      </c>
      <c r="I153" s="7" t="s">
        <v>250</v>
      </c>
      <c r="J153" s="2" t="s">
        <v>18</v>
      </c>
      <c r="K153" s="3" t="s">
        <v>31</v>
      </c>
      <c r="L153" s="3" t="s">
        <v>32</v>
      </c>
      <c r="M153" s="15">
        <v>46217</v>
      </c>
      <c r="N153" s="16" t="str">
        <f>IFERROR(VLOOKUP(A153,[1]Hoja1!$A$2:$J$68,10,FALSE), " - ")</f>
        <v xml:space="preserve"> - </v>
      </c>
    </row>
    <row r="154" spans="1:14" x14ac:dyDescent="0.3">
      <c r="A154" s="2">
        <v>35525</v>
      </c>
      <c r="B154" s="2" t="s">
        <v>12</v>
      </c>
      <c r="C154" s="3" t="s">
        <v>13</v>
      </c>
      <c r="D154" s="2" t="s">
        <v>26</v>
      </c>
      <c r="E154" s="12">
        <v>46182</v>
      </c>
      <c r="F154" s="2" t="s">
        <v>27</v>
      </c>
      <c r="G154" s="3" t="s">
        <v>418</v>
      </c>
      <c r="H154" s="3" t="s">
        <v>47</v>
      </c>
      <c r="I154" s="4" t="s">
        <v>153</v>
      </c>
      <c r="J154" s="2" t="s">
        <v>18</v>
      </c>
      <c r="K154" s="3" t="s">
        <v>35</v>
      </c>
      <c r="L154" s="3" t="s">
        <v>419</v>
      </c>
      <c r="M154" s="15">
        <v>46217</v>
      </c>
      <c r="N154" s="16" t="str">
        <f>IFERROR(VLOOKUP(A154,[1]Hoja1!$A$2:$J$68,10,FALSE), " - ")</f>
        <v xml:space="preserve"> - </v>
      </c>
    </row>
    <row r="155" spans="1:14" x14ac:dyDescent="0.3">
      <c r="A155" s="2">
        <v>35537</v>
      </c>
      <c r="B155" s="2" t="s">
        <v>12</v>
      </c>
      <c r="C155" s="3" t="s">
        <v>13</v>
      </c>
      <c r="D155" s="2" t="s">
        <v>26</v>
      </c>
      <c r="E155" s="12">
        <v>46182</v>
      </c>
      <c r="F155" s="2" t="s">
        <v>27</v>
      </c>
      <c r="G155" s="3" t="s">
        <v>420</v>
      </c>
      <c r="H155" s="3" t="s">
        <v>196</v>
      </c>
      <c r="I155" s="4" t="s">
        <v>531</v>
      </c>
      <c r="J155" s="2" t="s">
        <v>18</v>
      </c>
      <c r="K155" s="3" t="s">
        <v>716</v>
      </c>
      <c r="L155" s="3" t="s">
        <v>717</v>
      </c>
      <c r="M155" s="15">
        <v>46217</v>
      </c>
      <c r="N155" s="16" t="str">
        <f>IFERROR(VLOOKUP(A155,[1]Hoja1!$A$2:$J$68,10,FALSE), " - ")</f>
        <v xml:space="preserve"> - </v>
      </c>
    </row>
    <row r="156" spans="1:14" x14ac:dyDescent="0.3">
      <c r="A156" s="5">
        <v>35537</v>
      </c>
      <c r="B156" s="5" t="s">
        <v>12</v>
      </c>
      <c r="C156" s="6" t="s">
        <v>13</v>
      </c>
      <c r="D156" s="5" t="s">
        <v>26</v>
      </c>
      <c r="E156" s="13">
        <v>46182</v>
      </c>
      <c r="F156" s="5" t="s">
        <v>27</v>
      </c>
      <c r="G156" s="6" t="s">
        <v>420</v>
      </c>
      <c r="H156" s="6" t="s">
        <v>196</v>
      </c>
      <c r="I156" s="4" t="s">
        <v>362</v>
      </c>
      <c r="J156" s="5" t="s">
        <v>18</v>
      </c>
      <c r="K156" s="6" t="s">
        <v>35</v>
      </c>
      <c r="L156" s="6" t="s">
        <v>717</v>
      </c>
      <c r="M156" s="15">
        <v>46217</v>
      </c>
      <c r="N156" s="16" t="str">
        <f>IFERROR(VLOOKUP(A156,[1]Hoja1!$A$2:$J$68,10,FALSE), " - ")</f>
        <v xml:space="preserve"> - </v>
      </c>
    </row>
    <row r="157" spans="1:14" x14ac:dyDescent="0.3">
      <c r="A157" s="2">
        <v>35537</v>
      </c>
      <c r="B157" s="2" t="s">
        <v>12</v>
      </c>
      <c r="C157" s="3" t="s">
        <v>13</v>
      </c>
      <c r="D157" s="2" t="s">
        <v>26</v>
      </c>
      <c r="E157" s="12">
        <v>46182</v>
      </c>
      <c r="F157" s="2" t="s">
        <v>27</v>
      </c>
      <c r="G157" s="3" t="s">
        <v>420</v>
      </c>
      <c r="H157" s="3" t="s">
        <v>196</v>
      </c>
      <c r="I157" s="4" t="s">
        <v>819</v>
      </c>
      <c r="J157" s="2" t="s">
        <v>18</v>
      </c>
      <c r="K157" s="3" t="s">
        <v>820</v>
      </c>
      <c r="L157" s="3" t="s">
        <v>717</v>
      </c>
      <c r="M157" s="15">
        <v>46217</v>
      </c>
      <c r="N157" s="16" t="str">
        <f>IFERROR(VLOOKUP(A157,[1]Hoja1!$A$2:$J$68,10,FALSE), " - ")</f>
        <v xml:space="preserve"> - </v>
      </c>
    </row>
    <row r="158" spans="1:14" x14ac:dyDescent="0.3">
      <c r="A158" s="5">
        <v>35538</v>
      </c>
      <c r="B158" s="5" t="s">
        <v>33</v>
      </c>
      <c r="C158" s="6" t="s">
        <v>13</v>
      </c>
      <c r="D158" s="5" t="s">
        <v>26</v>
      </c>
      <c r="E158" s="13">
        <v>46182</v>
      </c>
      <c r="F158" s="5" t="s">
        <v>27</v>
      </c>
      <c r="G158" s="6" t="s">
        <v>420</v>
      </c>
      <c r="H158" s="6" t="s">
        <v>196</v>
      </c>
      <c r="I158" s="4" t="s">
        <v>138</v>
      </c>
      <c r="J158" s="5" t="s">
        <v>18</v>
      </c>
      <c r="K158" s="6" t="s">
        <v>139</v>
      </c>
      <c r="L158" s="6" t="s">
        <v>670</v>
      </c>
      <c r="M158" s="15">
        <v>46217</v>
      </c>
      <c r="N158" s="16" t="str">
        <f>IFERROR(VLOOKUP(A158,[1]Hoja1!$A$2:$J$68,10,FALSE), " - ")</f>
        <v xml:space="preserve"> - </v>
      </c>
    </row>
    <row r="159" spans="1:14" x14ac:dyDescent="0.3">
      <c r="A159" s="5">
        <v>35539</v>
      </c>
      <c r="B159" s="5" t="s">
        <v>33</v>
      </c>
      <c r="C159" s="6" t="s">
        <v>13</v>
      </c>
      <c r="D159" s="5" t="s">
        <v>26</v>
      </c>
      <c r="E159" s="13">
        <v>46182</v>
      </c>
      <c r="F159" s="5" t="s">
        <v>27</v>
      </c>
      <c r="G159" s="6" t="s">
        <v>420</v>
      </c>
      <c r="H159" s="6" t="s">
        <v>196</v>
      </c>
      <c r="I159" s="4" t="s">
        <v>34</v>
      </c>
      <c r="J159" s="5" t="s">
        <v>18</v>
      </c>
      <c r="K159" s="6" t="s">
        <v>35</v>
      </c>
      <c r="L159" s="6" t="s">
        <v>421</v>
      </c>
      <c r="M159" s="15">
        <v>46217</v>
      </c>
      <c r="N159" s="16" t="str">
        <f>IFERROR(VLOOKUP(A159,[1]Hoja1!$A$2:$J$68,10,FALSE), " - ")</f>
        <v xml:space="preserve"> - </v>
      </c>
    </row>
    <row r="160" spans="1:14" x14ac:dyDescent="0.3">
      <c r="A160" s="5">
        <v>35541</v>
      </c>
      <c r="B160" s="5" t="s">
        <v>12</v>
      </c>
      <c r="C160" s="6" t="s">
        <v>63</v>
      </c>
      <c r="D160" s="5" t="s">
        <v>26</v>
      </c>
      <c r="E160" s="13">
        <v>46182</v>
      </c>
      <c r="F160" s="5" t="s">
        <v>27</v>
      </c>
      <c r="G160" s="6" t="s">
        <v>125</v>
      </c>
      <c r="H160" s="6" t="s">
        <v>65</v>
      </c>
      <c r="I160" s="4" t="s">
        <v>126</v>
      </c>
      <c r="J160" s="5" t="s">
        <v>18</v>
      </c>
      <c r="K160" s="6" t="s">
        <v>127</v>
      </c>
      <c r="L160" s="6" t="s">
        <v>128</v>
      </c>
      <c r="M160" s="15">
        <v>46217</v>
      </c>
      <c r="N160" s="16" t="str">
        <f>IFERROR(VLOOKUP(A160,[1]Hoja1!$A$2:$J$68,10,FALSE), " - ")</f>
        <v xml:space="preserve"> - </v>
      </c>
    </row>
    <row r="161" spans="1:14" x14ac:dyDescent="0.3">
      <c r="A161" s="2">
        <v>35541</v>
      </c>
      <c r="B161" s="2" t="s">
        <v>12</v>
      </c>
      <c r="C161" s="3" t="s">
        <v>63</v>
      </c>
      <c r="D161" s="2" t="s">
        <v>26</v>
      </c>
      <c r="E161" s="12">
        <v>46182</v>
      </c>
      <c r="F161" s="2" t="s">
        <v>27</v>
      </c>
      <c r="G161" s="3" t="s">
        <v>125</v>
      </c>
      <c r="H161" s="3" t="s">
        <v>65</v>
      </c>
      <c r="I161" s="4" t="s">
        <v>422</v>
      </c>
      <c r="J161" s="2" t="s">
        <v>18</v>
      </c>
      <c r="K161" s="3" t="s">
        <v>127</v>
      </c>
      <c r="L161" s="3" t="s">
        <v>128</v>
      </c>
      <c r="M161" s="15">
        <v>46217</v>
      </c>
      <c r="N161" s="16" t="str">
        <f>IFERROR(VLOOKUP(A161,[1]Hoja1!$A$2:$J$68,10,FALSE), " - ")</f>
        <v xml:space="preserve"> - </v>
      </c>
    </row>
    <row r="162" spans="1:14" x14ac:dyDescent="0.3">
      <c r="A162" s="2">
        <v>35548</v>
      </c>
      <c r="B162" s="2" t="s">
        <v>33</v>
      </c>
      <c r="C162" s="3" t="s">
        <v>13</v>
      </c>
      <c r="D162" s="2" t="s">
        <v>26</v>
      </c>
      <c r="E162" s="12">
        <v>46182</v>
      </c>
      <c r="F162" s="2" t="s">
        <v>27</v>
      </c>
      <c r="G162" s="3" t="s">
        <v>16</v>
      </c>
      <c r="H162" s="3" t="s">
        <v>17</v>
      </c>
      <c r="I162" s="4" t="s">
        <v>138</v>
      </c>
      <c r="J162" s="2" t="s">
        <v>18</v>
      </c>
      <c r="K162" s="3" t="s">
        <v>139</v>
      </c>
      <c r="L162" s="3" t="s">
        <v>255</v>
      </c>
      <c r="M162" s="15">
        <v>46217</v>
      </c>
      <c r="N162" s="16" t="str">
        <f>IFERROR(VLOOKUP(A162,[1]Hoja1!$A$2:$J$68,10,FALSE), " - ")</f>
        <v xml:space="preserve"> - </v>
      </c>
    </row>
    <row r="163" spans="1:14" x14ac:dyDescent="0.3">
      <c r="A163" s="5">
        <v>35549</v>
      </c>
      <c r="B163" s="5" t="s">
        <v>33</v>
      </c>
      <c r="C163" s="6" t="s">
        <v>13</v>
      </c>
      <c r="D163" s="5" t="s">
        <v>26</v>
      </c>
      <c r="E163" s="13">
        <v>46182</v>
      </c>
      <c r="F163" s="5" t="s">
        <v>27</v>
      </c>
      <c r="G163" s="6" t="s">
        <v>16</v>
      </c>
      <c r="H163" s="6" t="s">
        <v>17</v>
      </c>
      <c r="I163" s="4" t="s">
        <v>34</v>
      </c>
      <c r="J163" s="5" t="s">
        <v>18</v>
      </c>
      <c r="K163" s="6" t="s">
        <v>35</v>
      </c>
      <c r="L163" s="6" t="s">
        <v>352</v>
      </c>
      <c r="M163" s="15">
        <v>46217</v>
      </c>
      <c r="N163" s="16" t="str">
        <f>IFERROR(VLOOKUP(A163,[1]Hoja1!$A$2:$J$68,10,FALSE), " - ")</f>
        <v xml:space="preserve"> - </v>
      </c>
    </row>
    <row r="164" spans="1:14" x14ac:dyDescent="0.3">
      <c r="A164" s="5">
        <v>35553</v>
      </c>
      <c r="B164" s="5" t="s">
        <v>33</v>
      </c>
      <c r="C164" s="6" t="s">
        <v>13</v>
      </c>
      <c r="D164" s="5" t="s">
        <v>26</v>
      </c>
      <c r="E164" s="13">
        <v>46182</v>
      </c>
      <c r="F164" s="5" t="s">
        <v>27</v>
      </c>
      <c r="G164" s="6" t="s">
        <v>564</v>
      </c>
      <c r="H164" s="6" t="s">
        <v>38</v>
      </c>
      <c r="I164" s="4" t="s">
        <v>138</v>
      </c>
      <c r="J164" s="5" t="s">
        <v>18</v>
      </c>
      <c r="K164" s="6" t="s">
        <v>139</v>
      </c>
      <c r="L164" s="6" t="s">
        <v>140</v>
      </c>
      <c r="M164" s="15">
        <v>46217</v>
      </c>
      <c r="N164" s="16" t="str">
        <f>IFERROR(VLOOKUP(A164,[1]Hoja1!$A$2:$J$68,10,FALSE), " - ")</f>
        <v xml:space="preserve"> - </v>
      </c>
    </row>
    <row r="165" spans="1:14" x14ac:dyDescent="0.3">
      <c r="A165" s="2">
        <v>35554</v>
      </c>
      <c r="B165" s="2" t="s">
        <v>33</v>
      </c>
      <c r="C165" s="3" t="s">
        <v>13</v>
      </c>
      <c r="D165" s="2" t="s">
        <v>26</v>
      </c>
      <c r="E165" s="12">
        <v>46182</v>
      </c>
      <c r="F165" s="2" t="s">
        <v>27</v>
      </c>
      <c r="G165" s="3" t="s">
        <v>564</v>
      </c>
      <c r="H165" s="3" t="s">
        <v>38</v>
      </c>
      <c r="I165" s="4" t="s">
        <v>34</v>
      </c>
      <c r="J165" s="2" t="s">
        <v>18</v>
      </c>
      <c r="K165" s="3" t="s">
        <v>35</v>
      </c>
      <c r="L165" s="3" t="s">
        <v>352</v>
      </c>
      <c r="M165" s="15">
        <v>46217</v>
      </c>
      <c r="N165" s="16" t="str">
        <f>IFERROR(VLOOKUP(A165,[1]Hoja1!$A$2:$J$68,10,FALSE), " - ")</f>
        <v xml:space="preserve"> - </v>
      </c>
    </row>
    <row r="166" spans="1:14" x14ac:dyDescent="0.3">
      <c r="A166" s="5">
        <v>35734</v>
      </c>
      <c r="B166" s="5" t="s">
        <v>12</v>
      </c>
      <c r="C166" s="6" t="s">
        <v>57</v>
      </c>
      <c r="D166" s="5" t="s">
        <v>26</v>
      </c>
      <c r="E166" s="13">
        <v>46182</v>
      </c>
      <c r="F166" s="5" t="s">
        <v>27</v>
      </c>
      <c r="G166" s="6" t="s">
        <v>274</v>
      </c>
      <c r="H166" s="6" t="s">
        <v>17</v>
      </c>
      <c r="I166" s="7" t="s">
        <v>275</v>
      </c>
      <c r="J166" s="5" t="s">
        <v>18</v>
      </c>
      <c r="K166" s="6" t="s">
        <v>31</v>
      </c>
      <c r="L166" s="6" t="s">
        <v>32</v>
      </c>
      <c r="M166" s="15">
        <v>46217</v>
      </c>
      <c r="N166" s="16" t="str">
        <f>IFERROR(VLOOKUP(A166,[1]Hoja1!$A$2:$J$68,10,FALSE), " - ")</f>
        <v xml:space="preserve"> - </v>
      </c>
    </row>
    <row r="167" spans="1:14" x14ac:dyDescent="0.3">
      <c r="A167" s="2">
        <v>35734</v>
      </c>
      <c r="B167" s="2" t="s">
        <v>12</v>
      </c>
      <c r="C167" s="3" t="s">
        <v>57</v>
      </c>
      <c r="D167" s="2" t="s">
        <v>26</v>
      </c>
      <c r="E167" s="12">
        <v>46182</v>
      </c>
      <c r="F167" s="2" t="s">
        <v>27</v>
      </c>
      <c r="G167" s="3" t="s">
        <v>274</v>
      </c>
      <c r="H167" s="3" t="s">
        <v>17</v>
      </c>
      <c r="I167" s="7" t="s">
        <v>60</v>
      </c>
      <c r="J167" s="2" t="s">
        <v>18</v>
      </c>
      <c r="K167" s="3" t="s">
        <v>31</v>
      </c>
      <c r="L167" s="3" t="s">
        <v>32</v>
      </c>
      <c r="M167" s="15">
        <v>46217</v>
      </c>
      <c r="N167" s="16" t="str">
        <f>IFERROR(VLOOKUP(A167,[1]Hoja1!$A$2:$J$68,10,FALSE), " - ")</f>
        <v xml:space="preserve"> - </v>
      </c>
    </row>
    <row r="168" spans="1:14" x14ac:dyDescent="0.3">
      <c r="A168" s="5">
        <v>35736</v>
      </c>
      <c r="B168" s="5" t="s">
        <v>12</v>
      </c>
      <c r="C168" s="6" t="s">
        <v>57</v>
      </c>
      <c r="D168" s="5" t="s">
        <v>26</v>
      </c>
      <c r="E168" s="13">
        <v>46182</v>
      </c>
      <c r="F168" s="5" t="s">
        <v>27</v>
      </c>
      <c r="G168" s="6" t="s">
        <v>236</v>
      </c>
      <c r="H168" s="6" t="s">
        <v>237</v>
      </c>
      <c r="I168" s="7" t="s">
        <v>60</v>
      </c>
      <c r="J168" s="5" t="s">
        <v>18</v>
      </c>
      <c r="K168" s="6" t="s">
        <v>31</v>
      </c>
      <c r="L168" s="6" t="s">
        <v>32</v>
      </c>
      <c r="M168" s="15">
        <v>46217</v>
      </c>
      <c r="N168" s="16" t="str">
        <f>IFERROR(VLOOKUP(A168,[1]Hoja1!$A$2:$J$68,10,FALSE), " - ")</f>
        <v xml:space="preserve"> - </v>
      </c>
    </row>
    <row r="169" spans="1:14" x14ac:dyDescent="0.3">
      <c r="A169" s="2">
        <v>35737</v>
      </c>
      <c r="B169" s="2" t="s">
        <v>12</v>
      </c>
      <c r="C169" s="3" t="s">
        <v>57</v>
      </c>
      <c r="D169" s="2" t="s">
        <v>26</v>
      </c>
      <c r="E169" s="12">
        <v>46182</v>
      </c>
      <c r="F169" s="2" t="s">
        <v>27</v>
      </c>
      <c r="G169" s="3" t="s">
        <v>881</v>
      </c>
      <c r="H169" s="3" t="s">
        <v>130</v>
      </c>
      <c r="I169" s="7" t="s">
        <v>60</v>
      </c>
      <c r="J169" s="2" t="s">
        <v>18</v>
      </c>
      <c r="K169" s="3" t="s">
        <v>31</v>
      </c>
      <c r="L169" s="3" t="s">
        <v>32</v>
      </c>
      <c r="M169" s="15">
        <v>46217</v>
      </c>
      <c r="N169" s="16" t="str">
        <f>IFERROR(VLOOKUP(A169,[1]Hoja1!$A$2:$J$68,10,FALSE), " - ")</f>
        <v xml:space="preserve"> - </v>
      </c>
    </row>
    <row r="170" spans="1:14" x14ac:dyDescent="0.3">
      <c r="A170" s="2">
        <v>35738</v>
      </c>
      <c r="B170" s="2" t="s">
        <v>12</v>
      </c>
      <c r="C170" s="3" t="s">
        <v>57</v>
      </c>
      <c r="D170" s="2" t="s">
        <v>26</v>
      </c>
      <c r="E170" s="12">
        <v>46182</v>
      </c>
      <c r="F170" s="2" t="s">
        <v>27</v>
      </c>
      <c r="G170" s="3" t="s">
        <v>276</v>
      </c>
      <c r="H170" s="3" t="s">
        <v>277</v>
      </c>
      <c r="I170" s="7" t="s">
        <v>60</v>
      </c>
      <c r="J170" s="2" t="s">
        <v>18</v>
      </c>
      <c r="K170" s="3" t="s">
        <v>31</v>
      </c>
      <c r="L170" s="3" t="s">
        <v>32</v>
      </c>
      <c r="M170" s="15">
        <v>46217</v>
      </c>
      <c r="N170" s="16" t="str">
        <f>IFERROR(VLOOKUP(A170,[1]Hoja1!$A$2:$J$68,10,FALSE), " - ")</f>
        <v xml:space="preserve"> - </v>
      </c>
    </row>
    <row r="171" spans="1:14" x14ac:dyDescent="0.3">
      <c r="A171" s="5">
        <v>35739</v>
      </c>
      <c r="B171" s="5" t="s">
        <v>12</v>
      </c>
      <c r="C171" s="6" t="s">
        <v>57</v>
      </c>
      <c r="D171" s="5" t="s">
        <v>26</v>
      </c>
      <c r="E171" s="13">
        <v>46182</v>
      </c>
      <c r="F171" s="5" t="s">
        <v>27</v>
      </c>
      <c r="G171" s="6" t="s">
        <v>536</v>
      </c>
      <c r="H171" s="6" t="s">
        <v>537</v>
      </c>
      <c r="I171" s="7" t="s">
        <v>60</v>
      </c>
      <c r="J171" s="5" t="s">
        <v>18</v>
      </c>
      <c r="K171" s="6" t="s">
        <v>31</v>
      </c>
      <c r="L171" s="6" t="s">
        <v>32</v>
      </c>
      <c r="M171" s="15">
        <v>46217</v>
      </c>
      <c r="N171" s="16" t="str">
        <f>IFERROR(VLOOKUP(A171,[1]Hoja1!$A$2:$J$68,10,FALSE), " - ")</f>
        <v xml:space="preserve"> - </v>
      </c>
    </row>
    <row r="172" spans="1:14" x14ac:dyDescent="0.3">
      <c r="A172" s="5">
        <v>35740</v>
      </c>
      <c r="B172" s="5" t="s">
        <v>12</v>
      </c>
      <c r="C172" s="6" t="s">
        <v>57</v>
      </c>
      <c r="D172" s="5" t="s">
        <v>26</v>
      </c>
      <c r="E172" s="13">
        <v>46182</v>
      </c>
      <c r="F172" s="5" t="s">
        <v>27</v>
      </c>
      <c r="G172" s="6" t="s">
        <v>632</v>
      </c>
      <c r="H172" s="6" t="s">
        <v>130</v>
      </c>
      <c r="I172" s="7" t="s">
        <v>60</v>
      </c>
      <c r="J172" s="5" t="s">
        <v>18</v>
      </c>
      <c r="K172" s="6" t="s">
        <v>31</v>
      </c>
      <c r="L172" s="6" t="s">
        <v>32</v>
      </c>
      <c r="M172" s="15">
        <v>46217</v>
      </c>
      <c r="N172" s="16" t="str">
        <f>IFERROR(VLOOKUP(A172,[1]Hoja1!$A$2:$J$68,10,FALSE), " - ")</f>
        <v xml:space="preserve"> - </v>
      </c>
    </row>
    <row r="173" spans="1:14" x14ac:dyDescent="0.3">
      <c r="A173" s="2">
        <v>35741</v>
      </c>
      <c r="B173" s="2" t="s">
        <v>12</v>
      </c>
      <c r="C173" s="3" t="s">
        <v>57</v>
      </c>
      <c r="D173" s="2" t="s">
        <v>26</v>
      </c>
      <c r="E173" s="12">
        <v>46182</v>
      </c>
      <c r="F173" s="2" t="s">
        <v>27</v>
      </c>
      <c r="G173" s="3" t="s">
        <v>834</v>
      </c>
      <c r="H173" s="3" t="s">
        <v>130</v>
      </c>
      <c r="I173" s="7" t="s">
        <v>60</v>
      </c>
      <c r="J173" s="2" t="s">
        <v>18</v>
      </c>
      <c r="K173" s="3" t="s">
        <v>31</v>
      </c>
      <c r="L173" s="3" t="s">
        <v>32</v>
      </c>
      <c r="M173" s="15">
        <v>46217</v>
      </c>
      <c r="N173" s="16" t="str">
        <f>IFERROR(VLOOKUP(A173,[1]Hoja1!$A$2:$J$68,10,FALSE), " - ")</f>
        <v xml:space="preserve"> - </v>
      </c>
    </row>
    <row r="174" spans="1:14" x14ac:dyDescent="0.3">
      <c r="A174" s="2">
        <v>35755</v>
      </c>
      <c r="B174" s="2" t="s">
        <v>12</v>
      </c>
      <c r="C174" s="3" t="s">
        <v>57</v>
      </c>
      <c r="D174" s="2" t="s">
        <v>26</v>
      </c>
      <c r="E174" s="12">
        <v>46182</v>
      </c>
      <c r="F174" s="2" t="s">
        <v>27</v>
      </c>
      <c r="G174" s="3" t="s">
        <v>415</v>
      </c>
      <c r="H174" s="3" t="s">
        <v>416</v>
      </c>
      <c r="I174" s="7" t="s">
        <v>417</v>
      </c>
      <c r="J174" s="2" t="s">
        <v>18</v>
      </c>
      <c r="K174" s="3" t="s">
        <v>31</v>
      </c>
      <c r="L174" s="3" t="s">
        <v>32</v>
      </c>
      <c r="M174" s="15">
        <v>46217</v>
      </c>
      <c r="N174" s="16" t="str">
        <f>IFERROR(VLOOKUP(A174,[1]Hoja1!$A$2:$J$68,10,FALSE), " - ")</f>
        <v xml:space="preserve"> - </v>
      </c>
    </row>
    <row r="175" spans="1:14" x14ac:dyDescent="0.3">
      <c r="A175" s="2">
        <v>35777</v>
      </c>
      <c r="B175" s="2" t="s">
        <v>12</v>
      </c>
      <c r="C175" s="3" t="s">
        <v>13</v>
      </c>
      <c r="D175" s="2" t="s">
        <v>26</v>
      </c>
      <c r="E175" s="12">
        <v>46182</v>
      </c>
      <c r="F175" s="9"/>
      <c r="G175" s="3" t="s">
        <v>113</v>
      </c>
      <c r="H175" s="3" t="s">
        <v>114</v>
      </c>
      <c r="I175" s="7" t="s">
        <v>473</v>
      </c>
      <c r="J175" s="2" t="s">
        <v>18</v>
      </c>
      <c r="K175" s="3" t="s">
        <v>31</v>
      </c>
      <c r="L175" s="3" t="s">
        <v>32</v>
      </c>
      <c r="M175" s="15">
        <v>46217</v>
      </c>
      <c r="N175" s="16" t="str">
        <f>IFERROR(VLOOKUP(A175,[1]Hoja1!$A$2:$J$68,10,FALSE), " - ")</f>
        <v xml:space="preserve"> - </v>
      </c>
    </row>
    <row r="176" spans="1:14" x14ac:dyDescent="0.3">
      <c r="A176" s="5">
        <v>35557</v>
      </c>
      <c r="B176" s="5" t="s">
        <v>12</v>
      </c>
      <c r="C176" s="6" t="s">
        <v>13</v>
      </c>
      <c r="D176" s="5" t="s">
        <v>26</v>
      </c>
      <c r="E176" s="13">
        <v>46183</v>
      </c>
      <c r="F176" s="5" t="s">
        <v>27</v>
      </c>
      <c r="G176" s="6" t="s">
        <v>281</v>
      </c>
      <c r="H176" s="6" t="s">
        <v>137</v>
      </c>
      <c r="I176" s="4" t="s">
        <v>423</v>
      </c>
      <c r="J176" s="5" t="s">
        <v>18</v>
      </c>
      <c r="K176" s="6" t="s">
        <v>424</v>
      </c>
      <c r="L176" s="6" t="s">
        <v>425</v>
      </c>
      <c r="M176" s="15">
        <v>46217</v>
      </c>
      <c r="N176" s="16" t="str">
        <f>IFERROR(VLOOKUP(A176,[1]Hoja1!$A$2:$J$68,10,FALSE), " - ")</f>
        <v xml:space="preserve"> - </v>
      </c>
    </row>
    <row r="177" spans="1:14" x14ac:dyDescent="0.3">
      <c r="A177" s="2">
        <v>35557</v>
      </c>
      <c r="B177" s="2" t="s">
        <v>12</v>
      </c>
      <c r="C177" s="3" t="s">
        <v>13</v>
      </c>
      <c r="D177" s="2" t="s">
        <v>26</v>
      </c>
      <c r="E177" s="12">
        <v>46183</v>
      </c>
      <c r="F177" s="2" t="s">
        <v>27</v>
      </c>
      <c r="G177" s="3" t="s">
        <v>281</v>
      </c>
      <c r="H177" s="3" t="s">
        <v>137</v>
      </c>
      <c r="I177" s="4" t="s">
        <v>512</v>
      </c>
      <c r="J177" s="2" t="s">
        <v>18</v>
      </c>
      <c r="K177" s="3" t="s">
        <v>513</v>
      </c>
      <c r="L177" s="3" t="s">
        <v>425</v>
      </c>
      <c r="M177" s="15">
        <v>46217</v>
      </c>
      <c r="N177" s="16" t="str">
        <f>IFERROR(VLOOKUP(A177,[1]Hoja1!$A$2:$J$68,10,FALSE), " - ")</f>
        <v xml:space="preserve"> - </v>
      </c>
    </row>
    <row r="178" spans="1:14" x14ac:dyDescent="0.3">
      <c r="A178" s="2">
        <v>35558</v>
      </c>
      <c r="B178" s="2" t="s">
        <v>12</v>
      </c>
      <c r="C178" s="3" t="s">
        <v>13</v>
      </c>
      <c r="D178" s="2" t="s">
        <v>26</v>
      </c>
      <c r="E178" s="12">
        <v>46183</v>
      </c>
      <c r="F178" s="9"/>
      <c r="G178" s="3" t="s">
        <v>426</v>
      </c>
      <c r="H178" s="3" t="s">
        <v>427</v>
      </c>
      <c r="I178" s="7" t="s">
        <v>428</v>
      </c>
      <c r="J178" s="2" t="s">
        <v>18</v>
      </c>
      <c r="K178" s="3" t="s">
        <v>31</v>
      </c>
      <c r="L178" s="3" t="s">
        <v>32</v>
      </c>
      <c r="M178" s="15">
        <v>46217</v>
      </c>
      <c r="N178" s="16" t="str">
        <f>IFERROR(VLOOKUP(A178,[1]Hoja1!$A$2:$J$68,10,FALSE), " - ")</f>
        <v xml:space="preserve"> - </v>
      </c>
    </row>
    <row r="179" spans="1:14" x14ac:dyDescent="0.3">
      <c r="A179" s="5">
        <v>35559</v>
      </c>
      <c r="B179" s="5" t="s">
        <v>12</v>
      </c>
      <c r="C179" s="6" t="s">
        <v>13</v>
      </c>
      <c r="D179" s="5" t="s">
        <v>26</v>
      </c>
      <c r="E179" s="13">
        <v>46183</v>
      </c>
      <c r="F179" s="5" t="s">
        <v>27</v>
      </c>
      <c r="G179" s="6" t="s">
        <v>361</v>
      </c>
      <c r="H179" s="6" t="s">
        <v>47</v>
      </c>
      <c r="I179" s="4" t="s">
        <v>514</v>
      </c>
      <c r="J179" s="5" t="s">
        <v>18</v>
      </c>
      <c r="K179" s="6" t="s">
        <v>35</v>
      </c>
      <c r="L179" s="6" t="s">
        <v>515</v>
      </c>
      <c r="M179" s="15">
        <v>46217</v>
      </c>
      <c r="N179" s="16" t="str">
        <f>IFERROR(VLOOKUP(A179,[1]Hoja1!$A$2:$J$68,10,FALSE), " - ")</f>
        <v xml:space="preserve"> - </v>
      </c>
    </row>
    <row r="180" spans="1:14" x14ac:dyDescent="0.3">
      <c r="A180" s="2">
        <v>35559</v>
      </c>
      <c r="B180" s="2" t="s">
        <v>12</v>
      </c>
      <c r="C180" s="3" t="s">
        <v>13</v>
      </c>
      <c r="D180" s="2" t="s">
        <v>26</v>
      </c>
      <c r="E180" s="12">
        <v>46183</v>
      </c>
      <c r="F180" s="10" t="s">
        <v>27</v>
      </c>
      <c r="G180" s="3" t="s">
        <v>361</v>
      </c>
      <c r="H180" s="3" t="s">
        <v>47</v>
      </c>
      <c r="I180" s="4" t="s">
        <v>671</v>
      </c>
      <c r="J180" s="2" t="s">
        <v>18</v>
      </c>
      <c r="K180" s="3" t="s">
        <v>672</v>
      </c>
      <c r="L180" s="3" t="s">
        <v>515</v>
      </c>
      <c r="M180" s="15">
        <v>46217</v>
      </c>
      <c r="N180" s="16" t="str">
        <f>IFERROR(VLOOKUP(A180,[1]Hoja1!$A$2:$J$68,10,FALSE), " - ")</f>
        <v xml:space="preserve"> - </v>
      </c>
    </row>
    <row r="181" spans="1:14" x14ac:dyDescent="0.3">
      <c r="A181" s="5">
        <v>35559</v>
      </c>
      <c r="B181" s="5" t="s">
        <v>12</v>
      </c>
      <c r="C181" s="6" t="s">
        <v>13</v>
      </c>
      <c r="D181" s="5" t="s">
        <v>26</v>
      </c>
      <c r="E181" s="13">
        <v>46183</v>
      </c>
      <c r="F181" s="5" t="s">
        <v>27</v>
      </c>
      <c r="G181" s="6" t="s">
        <v>361</v>
      </c>
      <c r="H181" s="6" t="s">
        <v>47</v>
      </c>
      <c r="I181" s="4" t="s">
        <v>718</v>
      </c>
      <c r="J181" s="5" t="s">
        <v>18</v>
      </c>
      <c r="K181" s="6" t="s">
        <v>377</v>
      </c>
      <c r="L181" s="6" t="s">
        <v>515</v>
      </c>
      <c r="M181" s="15">
        <v>46217</v>
      </c>
      <c r="N181" s="16" t="str">
        <f>IFERROR(VLOOKUP(A181,[1]Hoja1!$A$2:$J$68,10,FALSE), " - ")</f>
        <v xml:space="preserve"> - </v>
      </c>
    </row>
    <row r="182" spans="1:14" x14ac:dyDescent="0.3">
      <c r="A182" s="5">
        <v>35559</v>
      </c>
      <c r="B182" s="5" t="s">
        <v>12</v>
      </c>
      <c r="C182" s="6" t="s">
        <v>13</v>
      </c>
      <c r="D182" s="5" t="s">
        <v>26</v>
      </c>
      <c r="E182" s="13">
        <v>46183</v>
      </c>
      <c r="F182" s="5" t="s">
        <v>27</v>
      </c>
      <c r="G182" s="6" t="s">
        <v>361</v>
      </c>
      <c r="H182" s="6" t="s">
        <v>47</v>
      </c>
      <c r="I182" s="4" t="s">
        <v>771</v>
      </c>
      <c r="J182" s="5" t="s">
        <v>18</v>
      </c>
      <c r="K182" s="6" t="s">
        <v>107</v>
      </c>
      <c r="L182" s="6" t="s">
        <v>515</v>
      </c>
      <c r="M182" s="15">
        <v>46217</v>
      </c>
      <c r="N182" s="16" t="str">
        <f>IFERROR(VLOOKUP(A182,[1]Hoja1!$A$2:$J$68,10,FALSE), " - ")</f>
        <v xml:space="preserve"> - </v>
      </c>
    </row>
    <row r="183" spans="1:14" x14ac:dyDescent="0.3">
      <c r="A183" s="2">
        <v>35561</v>
      </c>
      <c r="B183" s="2" t="s">
        <v>12</v>
      </c>
      <c r="C183" s="3" t="s">
        <v>13</v>
      </c>
      <c r="D183" s="2" t="s">
        <v>26</v>
      </c>
      <c r="E183" s="12">
        <v>46183</v>
      </c>
      <c r="F183" s="2" t="s">
        <v>27</v>
      </c>
      <c r="G183" s="3" t="s">
        <v>875</v>
      </c>
      <c r="H183" s="3" t="s">
        <v>29</v>
      </c>
      <c r="I183" s="4" t="s">
        <v>142</v>
      </c>
      <c r="J183" s="2" t="s">
        <v>18</v>
      </c>
      <c r="K183" s="3" t="s">
        <v>35</v>
      </c>
      <c r="L183" s="3" t="s">
        <v>876</v>
      </c>
      <c r="M183" s="15">
        <v>46217</v>
      </c>
      <c r="N183" s="16" t="str">
        <f>IFERROR(VLOOKUP(A183,[1]Hoja1!$A$2:$J$68,10,FALSE), " - ")</f>
        <v xml:space="preserve"> - </v>
      </c>
    </row>
    <row r="184" spans="1:14" x14ac:dyDescent="0.3">
      <c r="A184" s="5">
        <v>35568</v>
      </c>
      <c r="B184" s="5" t="s">
        <v>12</v>
      </c>
      <c r="C184" s="6" t="s">
        <v>63</v>
      </c>
      <c r="D184" s="5" t="s">
        <v>26</v>
      </c>
      <c r="E184" s="13">
        <v>46183</v>
      </c>
      <c r="F184" s="5" t="s">
        <v>27</v>
      </c>
      <c r="G184" s="6" t="s">
        <v>161</v>
      </c>
      <c r="H184" s="6" t="s">
        <v>42</v>
      </c>
      <c r="I184" s="4" t="s">
        <v>631</v>
      </c>
      <c r="J184" s="5" t="s">
        <v>18</v>
      </c>
      <c r="K184" s="6" t="s">
        <v>51</v>
      </c>
      <c r="L184" s="6" t="s">
        <v>409</v>
      </c>
      <c r="M184" s="15">
        <v>46217</v>
      </c>
      <c r="N184" s="16" t="str">
        <f>IFERROR(VLOOKUP(A184,[1]Hoja1!$A$2:$J$68,10,FALSE), " - ")</f>
        <v xml:space="preserve"> - </v>
      </c>
    </row>
    <row r="185" spans="1:14" x14ac:dyDescent="0.3">
      <c r="A185" s="2">
        <v>35642</v>
      </c>
      <c r="B185" s="2" t="s">
        <v>12</v>
      </c>
      <c r="C185" s="3" t="s">
        <v>13</v>
      </c>
      <c r="D185" s="2" t="s">
        <v>26</v>
      </c>
      <c r="E185" s="12">
        <v>46183</v>
      </c>
      <c r="F185" s="2" t="s">
        <v>27</v>
      </c>
      <c r="G185" s="3" t="s">
        <v>155</v>
      </c>
      <c r="H185" s="3" t="s">
        <v>17</v>
      </c>
      <c r="I185" s="4" t="s">
        <v>156</v>
      </c>
      <c r="J185" s="2" t="s">
        <v>18</v>
      </c>
      <c r="K185" s="3" t="s">
        <v>157</v>
      </c>
      <c r="L185" s="3" t="s">
        <v>158</v>
      </c>
      <c r="M185" s="15">
        <v>46217</v>
      </c>
      <c r="N185" s="16" t="str">
        <f>IFERROR(VLOOKUP(A185,[1]Hoja1!$A$2:$J$68,10,FALSE), " - ")</f>
        <v xml:space="preserve"> - </v>
      </c>
    </row>
    <row r="186" spans="1:14" x14ac:dyDescent="0.3">
      <c r="A186" s="2">
        <v>35642</v>
      </c>
      <c r="B186" s="2" t="s">
        <v>12</v>
      </c>
      <c r="C186" s="3" t="s">
        <v>13</v>
      </c>
      <c r="D186" s="2" t="s">
        <v>26</v>
      </c>
      <c r="E186" s="12">
        <v>46183</v>
      </c>
      <c r="F186" s="2" t="s">
        <v>27</v>
      </c>
      <c r="G186" s="3" t="s">
        <v>155</v>
      </c>
      <c r="H186" s="3" t="s">
        <v>17</v>
      </c>
      <c r="I186" s="4" t="s">
        <v>589</v>
      </c>
      <c r="J186" s="2" t="s">
        <v>18</v>
      </c>
      <c r="K186" s="3" t="s">
        <v>35</v>
      </c>
      <c r="L186" s="3" t="s">
        <v>158</v>
      </c>
      <c r="M186" s="15">
        <v>46217</v>
      </c>
      <c r="N186" s="16" t="str">
        <f>IFERROR(VLOOKUP(A186,[1]Hoja1!$A$2:$J$68,10,FALSE), " - ")</f>
        <v xml:space="preserve"> - </v>
      </c>
    </row>
    <row r="187" spans="1:14" x14ac:dyDescent="0.3">
      <c r="A187" s="5">
        <v>35645</v>
      </c>
      <c r="B187" s="5" t="s">
        <v>12</v>
      </c>
      <c r="C187" s="6" t="s">
        <v>13</v>
      </c>
      <c r="D187" s="5" t="s">
        <v>26</v>
      </c>
      <c r="E187" s="13">
        <v>46183</v>
      </c>
      <c r="F187" s="5" t="s">
        <v>27</v>
      </c>
      <c r="G187" s="6" t="s">
        <v>474</v>
      </c>
      <c r="H187" s="6" t="s">
        <v>137</v>
      </c>
      <c r="I187" s="4" t="s">
        <v>527</v>
      </c>
      <c r="J187" s="5" t="s">
        <v>18</v>
      </c>
      <c r="K187" s="6" t="s">
        <v>35</v>
      </c>
      <c r="L187" s="6" t="s">
        <v>528</v>
      </c>
      <c r="M187" s="15">
        <v>46217</v>
      </c>
      <c r="N187" s="16" t="str">
        <f>IFERROR(VLOOKUP(A187,[1]Hoja1!$A$2:$J$68,10,FALSE), " - ")</f>
        <v xml:space="preserve"> - </v>
      </c>
    </row>
    <row r="188" spans="1:14" x14ac:dyDescent="0.3">
      <c r="A188" s="2">
        <v>35645</v>
      </c>
      <c r="B188" s="2" t="s">
        <v>12</v>
      </c>
      <c r="C188" s="3" t="s">
        <v>13</v>
      </c>
      <c r="D188" s="2" t="s">
        <v>26</v>
      </c>
      <c r="E188" s="12">
        <v>46183</v>
      </c>
      <c r="F188" s="2" t="s">
        <v>27</v>
      </c>
      <c r="G188" s="3" t="s">
        <v>474</v>
      </c>
      <c r="H188" s="3" t="s">
        <v>137</v>
      </c>
      <c r="I188" s="4" t="s">
        <v>317</v>
      </c>
      <c r="J188" s="2" t="s">
        <v>18</v>
      </c>
      <c r="K188" s="3" t="s">
        <v>529</v>
      </c>
      <c r="L188" s="3" t="s">
        <v>528</v>
      </c>
      <c r="M188" s="15">
        <v>46217</v>
      </c>
      <c r="N188" s="16" t="str">
        <f>IFERROR(VLOOKUP(A188,[1]Hoja1!$A$2:$J$68,10,FALSE), " - ")</f>
        <v xml:space="preserve"> - </v>
      </c>
    </row>
    <row r="189" spans="1:14" x14ac:dyDescent="0.3">
      <c r="A189" s="5">
        <v>35645</v>
      </c>
      <c r="B189" s="5" t="s">
        <v>12</v>
      </c>
      <c r="C189" s="6" t="s">
        <v>13</v>
      </c>
      <c r="D189" s="5" t="s">
        <v>26</v>
      </c>
      <c r="E189" s="13">
        <v>46183</v>
      </c>
      <c r="F189" s="5" t="s">
        <v>27</v>
      </c>
      <c r="G189" s="6" t="s">
        <v>474</v>
      </c>
      <c r="H189" s="6" t="s">
        <v>137</v>
      </c>
      <c r="I189" s="4" t="s">
        <v>590</v>
      </c>
      <c r="J189" s="5" t="s">
        <v>18</v>
      </c>
      <c r="K189" s="6" t="s">
        <v>35</v>
      </c>
      <c r="L189" s="6" t="s">
        <v>528</v>
      </c>
      <c r="M189" s="15">
        <v>46217</v>
      </c>
      <c r="N189" s="16" t="str">
        <f>IFERROR(VLOOKUP(A189,[1]Hoja1!$A$2:$J$68,10,FALSE), " - ")</f>
        <v xml:space="preserve"> - </v>
      </c>
    </row>
    <row r="190" spans="1:14" x14ac:dyDescent="0.3">
      <c r="A190" s="2">
        <v>35645</v>
      </c>
      <c r="B190" s="2" t="s">
        <v>12</v>
      </c>
      <c r="C190" s="3" t="s">
        <v>13</v>
      </c>
      <c r="D190" s="2" t="s">
        <v>26</v>
      </c>
      <c r="E190" s="12">
        <v>46183</v>
      </c>
      <c r="F190" s="2" t="s">
        <v>27</v>
      </c>
      <c r="G190" s="3" t="s">
        <v>474</v>
      </c>
      <c r="H190" s="3" t="s">
        <v>137</v>
      </c>
      <c r="I190" s="4" t="s">
        <v>362</v>
      </c>
      <c r="J190" s="2" t="s">
        <v>18</v>
      </c>
      <c r="K190" s="3" t="s">
        <v>35</v>
      </c>
      <c r="L190" s="3" t="s">
        <v>528</v>
      </c>
      <c r="M190" s="15">
        <v>46217</v>
      </c>
      <c r="N190" s="16" t="str">
        <f>IFERROR(VLOOKUP(A190,[1]Hoja1!$A$2:$J$68,10,FALSE), " - ")</f>
        <v xml:space="preserve"> - </v>
      </c>
    </row>
    <row r="191" spans="1:14" x14ac:dyDescent="0.3">
      <c r="A191" s="5">
        <v>35646</v>
      </c>
      <c r="B191" s="5" t="s">
        <v>104</v>
      </c>
      <c r="C191" s="6" t="s">
        <v>13</v>
      </c>
      <c r="D191" s="5" t="s">
        <v>26</v>
      </c>
      <c r="E191" s="13">
        <v>46183</v>
      </c>
      <c r="F191" s="5" t="s">
        <v>27</v>
      </c>
      <c r="G191" s="6" t="s">
        <v>519</v>
      </c>
      <c r="H191" s="6" t="s">
        <v>38</v>
      </c>
      <c r="I191" s="7" t="s">
        <v>263</v>
      </c>
      <c r="J191" s="5" t="s">
        <v>18</v>
      </c>
      <c r="K191" s="6" t="s">
        <v>31</v>
      </c>
      <c r="L191" s="6" t="s">
        <v>32</v>
      </c>
      <c r="M191" s="15">
        <v>46217</v>
      </c>
      <c r="N191" s="16" t="str">
        <f>IFERROR(VLOOKUP(A191,[1]Hoja1!$A$2:$J$68,10,FALSE), " - ")</f>
        <v xml:space="preserve"> - </v>
      </c>
    </row>
    <row r="192" spans="1:14" x14ac:dyDescent="0.3">
      <c r="A192" s="2">
        <v>35647</v>
      </c>
      <c r="B192" s="2" t="s">
        <v>33</v>
      </c>
      <c r="C192" s="3" t="s">
        <v>13</v>
      </c>
      <c r="D192" s="2" t="s">
        <v>26</v>
      </c>
      <c r="E192" s="12">
        <v>46183</v>
      </c>
      <c r="F192" s="2" t="s">
        <v>27</v>
      </c>
      <c r="G192" s="3" t="s">
        <v>155</v>
      </c>
      <c r="H192" s="3" t="s">
        <v>17</v>
      </c>
      <c r="I192" s="4" t="s">
        <v>138</v>
      </c>
      <c r="J192" s="2" t="s">
        <v>18</v>
      </c>
      <c r="K192" s="3" t="s">
        <v>139</v>
      </c>
      <c r="L192" s="3" t="s">
        <v>255</v>
      </c>
      <c r="M192" s="15">
        <v>46217</v>
      </c>
      <c r="N192" s="16" t="str">
        <f>IFERROR(VLOOKUP(A192,[1]Hoja1!$A$2:$J$68,10,FALSE), " - ")</f>
        <v xml:space="preserve"> - </v>
      </c>
    </row>
    <row r="193" spans="1:14" x14ac:dyDescent="0.3">
      <c r="A193" s="2">
        <v>35648</v>
      </c>
      <c r="B193" s="2" t="s">
        <v>33</v>
      </c>
      <c r="C193" s="3" t="s">
        <v>13</v>
      </c>
      <c r="D193" s="2" t="s">
        <v>26</v>
      </c>
      <c r="E193" s="12">
        <v>46183</v>
      </c>
      <c r="F193" s="2" t="s">
        <v>27</v>
      </c>
      <c r="G193" s="3" t="s">
        <v>155</v>
      </c>
      <c r="H193" s="3" t="s">
        <v>17</v>
      </c>
      <c r="I193" s="4" t="s">
        <v>34</v>
      </c>
      <c r="J193" s="2" t="s">
        <v>18</v>
      </c>
      <c r="K193" s="3" t="s">
        <v>35</v>
      </c>
      <c r="L193" s="3" t="s">
        <v>160</v>
      </c>
      <c r="M193" s="15">
        <v>46217</v>
      </c>
      <c r="N193" s="16" t="str">
        <f>IFERROR(VLOOKUP(A193,[1]Hoja1!$A$2:$J$68,10,FALSE), " - ")</f>
        <v xml:space="preserve"> - </v>
      </c>
    </row>
    <row r="194" spans="1:14" x14ac:dyDescent="0.3">
      <c r="A194" s="5">
        <v>35715</v>
      </c>
      <c r="B194" s="5" t="s">
        <v>12</v>
      </c>
      <c r="C194" s="6" t="s">
        <v>13</v>
      </c>
      <c r="D194" s="5" t="s">
        <v>26</v>
      </c>
      <c r="E194" s="13">
        <v>46183</v>
      </c>
      <c r="F194" s="9"/>
      <c r="G194" s="6" t="s">
        <v>530</v>
      </c>
      <c r="H194" s="6" t="s">
        <v>114</v>
      </c>
      <c r="I194" s="7" t="s">
        <v>531</v>
      </c>
      <c r="J194" s="5" t="s">
        <v>18</v>
      </c>
      <c r="K194" s="6" t="s">
        <v>31</v>
      </c>
      <c r="L194" s="6" t="s">
        <v>32</v>
      </c>
      <c r="M194" s="15">
        <v>46217</v>
      </c>
      <c r="N194" s="16" t="str">
        <f>IFERROR(VLOOKUP(A194,[1]Hoja1!$A$2:$J$68,10,FALSE), " - ")</f>
        <v xml:space="preserve"> - </v>
      </c>
    </row>
    <row r="195" spans="1:14" x14ac:dyDescent="0.3">
      <c r="A195" s="2">
        <v>35717</v>
      </c>
      <c r="B195" s="2" t="s">
        <v>12</v>
      </c>
      <c r="C195" s="3" t="s">
        <v>13</v>
      </c>
      <c r="D195" s="2" t="s">
        <v>26</v>
      </c>
      <c r="E195" s="12">
        <v>46183</v>
      </c>
      <c r="F195" s="2" t="s">
        <v>27</v>
      </c>
      <c r="G195" s="3" t="s">
        <v>532</v>
      </c>
      <c r="H195" s="3" t="s">
        <v>65</v>
      </c>
      <c r="I195" s="4" t="s">
        <v>533</v>
      </c>
      <c r="J195" s="2" t="s">
        <v>18</v>
      </c>
      <c r="K195" s="3" t="s">
        <v>534</v>
      </c>
      <c r="L195" s="3" t="s">
        <v>535</v>
      </c>
      <c r="M195" s="15">
        <v>46217</v>
      </c>
      <c r="N195" s="16" t="str">
        <f>IFERROR(VLOOKUP(A195,[1]Hoja1!$A$2:$J$68,10,FALSE), " - ")</f>
        <v xml:space="preserve"> - </v>
      </c>
    </row>
    <row r="196" spans="1:14" x14ac:dyDescent="0.3">
      <c r="A196" s="5">
        <v>35717</v>
      </c>
      <c r="B196" s="5" t="s">
        <v>12</v>
      </c>
      <c r="C196" s="6" t="s">
        <v>13</v>
      </c>
      <c r="D196" s="5" t="s">
        <v>26</v>
      </c>
      <c r="E196" s="13">
        <v>46183</v>
      </c>
      <c r="F196" s="5" t="s">
        <v>27</v>
      </c>
      <c r="G196" s="6" t="s">
        <v>532</v>
      </c>
      <c r="H196" s="6" t="s">
        <v>65</v>
      </c>
      <c r="I196" s="4" t="s">
        <v>687</v>
      </c>
      <c r="J196" s="5" t="s">
        <v>18</v>
      </c>
      <c r="K196" s="6" t="s">
        <v>288</v>
      </c>
      <c r="L196" s="6" t="s">
        <v>535</v>
      </c>
      <c r="M196" s="15">
        <v>46217</v>
      </c>
      <c r="N196" s="16" t="str">
        <f>IFERROR(VLOOKUP(A196,[1]Hoja1!$A$2:$J$68,10,FALSE), " - ")</f>
        <v xml:space="preserve"> - </v>
      </c>
    </row>
    <row r="197" spans="1:14" x14ac:dyDescent="0.3">
      <c r="A197" s="5">
        <v>35717</v>
      </c>
      <c r="B197" s="5" t="s">
        <v>12</v>
      </c>
      <c r="C197" s="6" t="s">
        <v>13</v>
      </c>
      <c r="D197" s="5" t="s">
        <v>26</v>
      </c>
      <c r="E197" s="13">
        <v>46183</v>
      </c>
      <c r="F197" s="5" t="s">
        <v>27</v>
      </c>
      <c r="G197" s="6" t="s">
        <v>532</v>
      </c>
      <c r="H197" s="6" t="s">
        <v>65</v>
      </c>
      <c r="I197" s="4" t="s">
        <v>833</v>
      </c>
      <c r="J197" s="5" t="s">
        <v>18</v>
      </c>
      <c r="K197" s="6" t="s">
        <v>534</v>
      </c>
      <c r="L197" s="6" t="s">
        <v>535</v>
      </c>
      <c r="M197" s="15">
        <v>46217</v>
      </c>
      <c r="N197" s="16" t="str">
        <f>IFERROR(VLOOKUP(A197,[1]Hoja1!$A$2:$J$68,10,FALSE), " - ")</f>
        <v xml:space="preserve"> - </v>
      </c>
    </row>
    <row r="198" spans="1:14" x14ac:dyDescent="0.3">
      <c r="A198" s="5">
        <v>35722</v>
      </c>
      <c r="B198" s="5" t="s">
        <v>33</v>
      </c>
      <c r="C198" s="6" t="s">
        <v>13</v>
      </c>
      <c r="D198" s="5" t="s">
        <v>26</v>
      </c>
      <c r="E198" s="13">
        <v>46183</v>
      </c>
      <c r="F198" s="5" t="s">
        <v>27</v>
      </c>
      <c r="G198" s="6" t="s">
        <v>159</v>
      </c>
      <c r="H198" s="6" t="s">
        <v>38</v>
      </c>
      <c r="I198" s="4" t="s">
        <v>138</v>
      </c>
      <c r="J198" s="5" t="s">
        <v>18</v>
      </c>
      <c r="K198" s="6" t="s">
        <v>139</v>
      </c>
      <c r="L198" s="6" t="s">
        <v>140</v>
      </c>
      <c r="M198" s="15">
        <v>46217</v>
      </c>
      <c r="N198" s="16" t="str">
        <f>IFERROR(VLOOKUP(A198,[1]Hoja1!$A$2:$J$68,10,FALSE), " - ")</f>
        <v xml:space="preserve"> - </v>
      </c>
    </row>
    <row r="199" spans="1:14" x14ac:dyDescent="0.3">
      <c r="A199" s="5">
        <v>35723</v>
      </c>
      <c r="B199" s="5" t="s">
        <v>33</v>
      </c>
      <c r="C199" s="6" t="s">
        <v>13</v>
      </c>
      <c r="D199" s="5" t="s">
        <v>26</v>
      </c>
      <c r="E199" s="13">
        <v>46183</v>
      </c>
      <c r="F199" s="5" t="s">
        <v>27</v>
      </c>
      <c r="G199" s="6" t="s">
        <v>159</v>
      </c>
      <c r="H199" s="6" t="s">
        <v>38</v>
      </c>
      <c r="I199" s="4" t="s">
        <v>34</v>
      </c>
      <c r="J199" s="5" t="s">
        <v>18</v>
      </c>
      <c r="K199" s="6" t="s">
        <v>35</v>
      </c>
      <c r="L199" s="6" t="s">
        <v>160</v>
      </c>
      <c r="M199" s="15">
        <v>46217</v>
      </c>
      <c r="N199" s="16" t="str">
        <f>IFERROR(VLOOKUP(A199,[1]Hoja1!$A$2:$J$68,10,FALSE), " - ")</f>
        <v xml:space="preserve"> - </v>
      </c>
    </row>
    <row r="200" spans="1:14" x14ac:dyDescent="0.3">
      <c r="A200" s="2">
        <v>35725</v>
      </c>
      <c r="B200" s="2" t="s">
        <v>12</v>
      </c>
      <c r="C200" s="3" t="s">
        <v>13</v>
      </c>
      <c r="D200" s="2" t="s">
        <v>26</v>
      </c>
      <c r="E200" s="12">
        <v>46183</v>
      </c>
      <c r="F200" s="2" t="s">
        <v>27</v>
      </c>
      <c r="G200" s="3" t="s">
        <v>519</v>
      </c>
      <c r="H200" s="3" t="s">
        <v>38</v>
      </c>
      <c r="I200" s="4" t="s">
        <v>123</v>
      </c>
      <c r="J200" s="2" t="s">
        <v>18</v>
      </c>
      <c r="K200" s="3" t="s">
        <v>35</v>
      </c>
      <c r="L200" s="3" t="s">
        <v>636</v>
      </c>
      <c r="M200" s="15">
        <v>46217</v>
      </c>
      <c r="N200" s="16" t="str">
        <f>IFERROR(VLOOKUP(A200,[1]Hoja1!$A$2:$J$68,10,FALSE), " - ")</f>
        <v xml:space="preserve"> - </v>
      </c>
    </row>
    <row r="201" spans="1:14" x14ac:dyDescent="0.3">
      <c r="A201" s="5">
        <v>35884</v>
      </c>
      <c r="B201" s="5" t="s">
        <v>12</v>
      </c>
      <c r="C201" s="6" t="s">
        <v>57</v>
      </c>
      <c r="D201" s="5" t="s">
        <v>26</v>
      </c>
      <c r="E201" s="13">
        <v>46183</v>
      </c>
      <c r="F201" s="5" t="s">
        <v>27</v>
      </c>
      <c r="G201" s="6" t="s">
        <v>236</v>
      </c>
      <c r="H201" s="6" t="s">
        <v>237</v>
      </c>
      <c r="I201" s="7" t="s">
        <v>131</v>
      </c>
      <c r="J201" s="5" t="s">
        <v>18</v>
      </c>
      <c r="K201" s="6" t="s">
        <v>31</v>
      </c>
      <c r="L201" s="6" t="s">
        <v>32</v>
      </c>
      <c r="M201" s="15">
        <v>46217</v>
      </c>
      <c r="N201" s="16" t="str">
        <f>IFERROR(VLOOKUP(A201,[1]Hoja1!$A$2:$J$68,10,FALSE), " - ")</f>
        <v xml:space="preserve"> - </v>
      </c>
    </row>
    <row r="202" spans="1:14" x14ac:dyDescent="0.3">
      <c r="A202" s="2">
        <v>35885</v>
      </c>
      <c r="B202" s="2" t="s">
        <v>12</v>
      </c>
      <c r="C202" s="3" t="s">
        <v>57</v>
      </c>
      <c r="D202" s="2" t="s">
        <v>26</v>
      </c>
      <c r="E202" s="12">
        <v>46183</v>
      </c>
      <c r="F202" s="2" t="s">
        <v>27</v>
      </c>
      <c r="G202" s="3" t="s">
        <v>719</v>
      </c>
      <c r="H202" s="3" t="s">
        <v>237</v>
      </c>
      <c r="I202" s="7" t="s">
        <v>131</v>
      </c>
      <c r="J202" s="2" t="s">
        <v>18</v>
      </c>
      <c r="K202" s="3" t="s">
        <v>31</v>
      </c>
      <c r="L202" s="3" t="s">
        <v>32</v>
      </c>
      <c r="M202" s="15">
        <v>46217</v>
      </c>
      <c r="N202" s="16" t="str">
        <f>IFERROR(VLOOKUP(A202,[1]Hoja1!$A$2:$J$68,10,FALSE), " - ")</f>
        <v xml:space="preserve"> - </v>
      </c>
    </row>
    <row r="203" spans="1:14" x14ac:dyDescent="0.3">
      <c r="A203" s="2">
        <v>35886</v>
      </c>
      <c r="B203" s="2" t="s">
        <v>12</v>
      </c>
      <c r="C203" s="3" t="s">
        <v>57</v>
      </c>
      <c r="D203" s="2" t="s">
        <v>26</v>
      </c>
      <c r="E203" s="12">
        <v>46183</v>
      </c>
      <c r="F203" s="2" t="s">
        <v>27</v>
      </c>
      <c r="G203" s="3" t="s">
        <v>260</v>
      </c>
      <c r="H203" s="3" t="s">
        <v>130</v>
      </c>
      <c r="I203" s="7" t="s">
        <v>131</v>
      </c>
      <c r="J203" s="2" t="s">
        <v>18</v>
      </c>
      <c r="K203" s="3" t="s">
        <v>31</v>
      </c>
      <c r="L203" s="3" t="s">
        <v>32</v>
      </c>
      <c r="M203" s="15">
        <v>46217</v>
      </c>
      <c r="N203" s="16" t="str">
        <f>IFERROR(VLOOKUP(A203,[1]Hoja1!$A$2:$J$68,10,FALSE), " - ")</f>
        <v xml:space="preserve"> - </v>
      </c>
    </row>
    <row r="204" spans="1:14" x14ac:dyDescent="0.3">
      <c r="A204" s="2">
        <v>35887</v>
      </c>
      <c r="B204" s="2" t="s">
        <v>12</v>
      </c>
      <c r="C204" s="3" t="s">
        <v>57</v>
      </c>
      <c r="D204" s="2" t="s">
        <v>26</v>
      </c>
      <c r="E204" s="12">
        <v>46183</v>
      </c>
      <c r="F204" s="2" t="s">
        <v>27</v>
      </c>
      <c r="G204" s="3" t="s">
        <v>516</v>
      </c>
      <c r="H204" s="3" t="s">
        <v>130</v>
      </c>
      <c r="I204" s="7" t="s">
        <v>131</v>
      </c>
      <c r="J204" s="2" t="s">
        <v>18</v>
      </c>
      <c r="K204" s="3" t="s">
        <v>31</v>
      </c>
      <c r="L204" s="3" t="s">
        <v>32</v>
      </c>
      <c r="M204" s="15">
        <v>46217</v>
      </c>
      <c r="N204" s="16" t="str">
        <f>IFERROR(VLOOKUP(A204,[1]Hoja1!$A$2:$J$68,10,FALSE), " - ")</f>
        <v xml:space="preserve"> - </v>
      </c>
    </row>
    <row r="205" spans="1:14" x14ac:dyDescent="0.3">
      <c r="A205" s="2">
        <v>35888</v>
      </c>
      <c r="B205" s="2" t="s">
        <v>12</v>
      </c>
      <c r="C205" s="3" t="s">
        <v>57</v>
      </c>
      <c r="D205" s="2" t="s">
        <v>26</v>
      </c>
      <c r="E205" s="12">
        <v>46183</v>
      </c>
      <c r="F205" s="2" t="s">
        <v>27</v>
      </c>
      <c r="G205" s="3" t="s">
        <v>381</v>
      </c>
      <c r="H205" s="3" t="s">
        <v>130</v>
      </c>
      <c r="I205" s="7" t="s">
        <v>131</v>
      </c>
      <c r="J205" s="2" t="s">
        <v>18</v>
      </c>
      <c r="K205" s="3" t="s">
        <v>31</v>
      </c>
      <c r="L205" s="3" t="s">
        <v>32</v>
      </c>
      <c r="M205" s="15">
        <v>46217</v>
      </c>
      <c r="N205" s="16" t="str">
        <f>IFERROR(VLOOKUP(A205,[1]Hoja1!$A$2:$J$68,10,FALSE), " - ")</f>
        <v xml:space="preserve"> - </v>
      </c>
    </row>
    <row r="206" spans="1:14" x14ac:dyDescent="0.3">
      <c r="A206" s="5">
        <v>35889</v>
      </c>
      <c r="B206" s="5" t="s">
        <v>12</v>
      </c>
      <c r="C206" s="6" t="s">
        <v>57</v>
      </c>
      <c r="D206" s="5" t="s">
        <v>26</v>
      </c>
      <c r="E206" s="13">
        <v>46183</v>
      </c>
      <c r="F206" s="5" t="s">
        <v>27</v>
      </c>
      <c r="G206" s="6" t="s">
        <v>821</v>
      </c>
      <c r="H206" s="6" t="s">
        <v>537</v>
      </c>
      <c r="I206" s="7" t="s">
        <v>131</v>
      </c>
      <c r="J206" s="5" t="s">
        <v>18</v>
      </c>
      <c r="K206" s="6" t="s">
        <v>31</v>
      </c>
      <c r="L206" s="6" t="s">
        <v>32</v>
      </c>
      <c r="M206" s="15">
        <v>46217</v>
      </c>
      <c r="N206" s="16" t="str">
        <f>IFERROR(VLOOKUP(A206,[1]Hoja1!$A$2:$J$68,10,FALSE), " - ")</f>
        <v xml:space="preserve"> - </v>
      </c>
    </row>
    <row r="207" spans="1:14" x14ac:dyDescent="0.3">
      <c r="A207" s="5">
        <v>35946</v>
      </c>
      <c r="B207" s="5" t="s">
        <v>12</v>
      </c>
      <c r="C207" s="6" t="s">
        <v>57</v>
      </c>
      <c r="D207" s="5" t="s">
        <v>26</v>
      </c>
      <c r="E207" s="13">
        <v>46183</v>
      </c>
      <c r="F207" s="9"/>
      <c r="G207" s="6" t="s">
        <v>113</v>
      </c>
      <c r="H207" s="6" t="s">
        <v>114</v>
      </c>
      <c r="I207" s="7" t="s">
        <v>585</v>
      </c>
      <c r="J207" s="5" t="s">
        <v>18</v>
      </c>
      <c r="K207" s="6" t="s">
        <v>31</v>
      </c>
      <c r="L207" s="6" t="s">
        <v>32</v>
      </c>
      <c r="M207" s="15">
        <v>46217</v>
      </c>
      <c r="N207" s="16" t="str">
        <f>IFERROR(VLOOKUP(A207,[1]Hoja1!$A$2:$J$68,10,FALSE), " - ")</f>
        <v xml:space="preserve"> - </v>
      </c>
    </row>
    <row r="208" spans="1:14" x14ac:dyDescent="0.3">
      <c r="A208" s="2">
        <v>35948</v>
      </c>
      <c r="B208" s="2" t="s">
        <v>12</v>
      </c>
      <c r="C208" s="3" t="s">
        <v>80</v>
      </c>
      <c r="D208" s="2" t="s">
        <v>26</v>
      </c>
      <c r="E208" s="12">
        <v>46183</v>
      </c>
      <c r="F208" s="2" t="s">
        <v>27</v>
      </c>
      <c r="G208" s="3" t="s">
        <v>768</v>
      </c>
      <c r="H208" s="3" t="s">
        <v>72</v>
      </c>
      <c r="I208" s="4" t="s">
        <v>769</v>
      </c>
      <c r="J208" s="2" t="s">
        <v>18</v>
      </c>
      <c r="K208" s="3" t="s">
        <v>770</v>
      </c>
      <c r="L208" s="3" t="s">
        <v>576</v>
      </c>
      <c r="M208" s="15">
        <v>46217</v>
      </c>
      <c r="N208" s="16" t="str">
        <f>IFERROR(VLOOKUP(A208,[1]Hoja1!$A$2:$J$68,10,FALSE), " - ")</f>
        <v xml:space="preserve"> - </v>
      </c>
    </row>
    <row r="209" spans="1:14" x14ac:dyDescent="0.3">
      <c r="A209" s="2">
        <v>36076</v>
      </c>
      <c r="B209" s="2" t="s">
        <v>12</v>
      </c>
      <c r="C209" s="3" t="s">
        <v>57</v>
      </c>
      <c r="D209" s="2" t="s">
        <v>14</v>
      </c>
      <c r="E209" s="12">
        <v>46183</v>
      </c>
      <c r="F209" s="2" t="s">
        <v>15</v>
      </c>
      <c r="G209" s="3" t="s">
        <v>656</v>
      </c>
      <c r="H209" s="3" t="s">
        <v>20</v>
      </c>
      <c r="I209" s="4" t="s">
        <v>153</v>
      </c>
      <c r="J209" s="2" t="s">
        <v>18</v>
      </c>
      <c r="K209" s="3" t="s">
        <v>35</v>
      </c>
      <c r="L209" s="3" t="s">
        <v>882</v>
      </c>
      <c r="M209" s="15">
        <v>46217</v>
      </c>
      <c r="N209" s="16" t="str">
        <f>IFERROR(VLOOKUP(A209,[1]Hoja1!$A$2:$J$68,10,FALSE), " - ")</f>
        <v xml:space="preserve"> - </v>
      </c>
    </row>
    <row r="210" spans="1:14" x14ac:dyDescent="0.3">
      <c r="A210" s="5">
        <v>36133</v>
      </c>
      <c r="B210" s="5" t="s">
        <v>12</v>
      </c>
      <c r="C210" s="6" t="s">
        <v>63</v>
      </c>
      <c r="D210" s="5" t="s">
        <v>26</v>
      </c>
      <c r="E210" s="13">
        <v>46183</v>
      </c>
      <c r="F210" s="5" t="s">
        <v>27</v>
      </c>
      <c r="G210" s="6" t="s">
        <v>781</v>
      </c>
      <c r="H210" s="6" t="s">
        <v>77</v>
      </c>
      <c r="I210" s="4" t="s">
        <v>782</v>
      </c>
      <c r="J210" s="5" t="s">
        <v>18</v>
      </c>
      <c r="K210" s="6" t="s">
        <v>783</v>
      </c>
      <c r="L210" s="6" t="s">
        <v>784</v>
      </c>
      <c r="M210" s="15">
        <v>46217</v>
      </c>
      <c r="N210" s="16" t="str">
        <f>IFERROR(VLOOKUP(A210,[1]Hoja1!$A$2:$J$68,10,FALSE), " - ")</f>
        <v xml:space="preserve"> - </v>
      </c>
    </row>
    <row r="211" spans="1:14" x14ac:dyDescent="0.3">
      <c r="A211" s="2">
        <v>36134</v>
      </c>
      <c r="B211" s="2" t="s">
        <v>12</v>
      </c>
      <c r="C211" s="3" t="s">
        <v>63</v>
      </c>
      <c r="D211" s="2" t="s">
        <v>26</v>
      </c>
      <c r="E211" s="12">
        <v>46183</v>
      </c>
      <c r="F211" s="2" t="s">
        <v>27</v>
      </c>
      <c r="G211" s="3" t="s">
        <v>161</v>
      </c>
      <c r="H211" s="3" t="s">
        <v>42</v>
      </c>
      <c r="I211" s="4" t="s">
        <v>162</v>
      </c>
      <c r="J211" s="2" t="s">
        <v>18</v>
      </c>
      <c r="K211" s="3" t="s">
        <v>51</v>
      </c>
      <c r="L211" s="3" t="s">
        <v>163</v>
      </c>
      <c r="M211" s="15">
        <v>46217</v>
      </c>
      <c r="N211" s="16" t="str">
        <f>IFERROR(VLOOKUP(A211,[1]Hoja1!$A$2:$J$68,10,FALSE), " - ")</f>
        <v xml:space="preserve"> - </v>
      </c>
    </row>
    <row r="212" spans="1:14" x14ac:dyDescent="0.3">
      <c r="A212" s="5">
        <v>36134</v>
      </c>
      <c r="B212" s="5" t="s">
        <v>12</v>
      </c>
      <c r="C212" s="6" t="s">
        <v>63</v>
      </c>
      <c r="D212" s="5" t="s">
        <v>26</v>
      </c>
      <c r="E212" s="13">
        <v>46183</v>
      </c>
      <c r="F212" s="11" t="s">
        <v>27</v>
      </c>
      <c r="G212" s="6" t="s">
        <v>161</v>
      </c>
      <c r="H212" s="6" t="s">
        <v>42</v>
      </c>
      <c r="I212" s="4" t="s">
        <v>835</v>
      </c>
      <c r="J212" s="5" t="s">
        <v>18</v>
      </c>
      <c r="K212" s="6" t="s">
        <v>127</v>
      </c>
      <c r="L212" s="6" t="s">
        <v>163</v>
      </c>
      <c r="M212" s="15">
        <v>46217</v>
      </c>
      <c r="N212" s="16" t="str">
        <f>IFERROR(VLOOKUP(A212,[1]Hoja1!$A$2:$J$68,10,FALSE), " - ")</f>
        <v xml:space="preserve"> - </v>
      </c>
    </row>
    <row r="213" spans="1:14" x14ac:dyDescent="0.3">
      <c r="A213" s="2">
        <v>35735</v>
      </c>
      <c r="B213" s="2" t="s">
        <v>12</v>
      </c>
      <c r="C213" s="3" t="s">
        <v>57</v>
      </c>
      <c r="D213" s="2" t="s">
        <v>26</v>
      </c>
      <c r="E213" s="12">
        <v>46184</v>
      </c>
      <c r="F213" s="2" t="s">
        <v>27</v>
      </c>
      <c r="G213" s="3" t="s">
        <v>458</v>
      </c>
      <c r="H213" s="3" t="s">
        <v>17</v>
      </c>
      <c r="I213" s="7" t="s">
        <v>60</v>
      </c>
      <c r="J213" s="2" t="s">
        <v>18</v>
      </c>
      <c r="K213" s="3" t="s">
        <v>31</v>
      </c>
      <c r="L213" s="3" t="s">
        <v>32</v>
      </c>
      <c r="M213" s="15">
        <v>46217</v>
      </c>
      <c r="N213" s="16" t="str">
        <f>IFERROR(VLOOKUP(A213,[1]Hoja1!$A$2:$J$68,10,FALSE), " - ")</f>
        <v xml:space="preserve"> - </v>
      </c>
    </row>
    <row r="214" spans="1:14" x14ac:dyDescent="0.3">
      <c r="A214" s="2">
        <v>35764</v>
      </c>
      <c r="B214" s="2" t="s">
        <v>12</v>
      </c>
      <c r="C214" s="3" t="s">
        <v>13</v>
      </c>
      <c r="D214" s="2" t="s">
        <v>26</v>
      </c>
      <c r="E214" s="12">
        <v>46184</v>
      </c>
      <c r="F214" s="2" t="s">
        <v>27</v>
      </c>
      <c r="G214" s="3" t="s">
        <v>295</v>
      </c>
      <c r="H214" s="3" t="s">
        <v>29</v>
      </c>
      <c r="I214" s="7" t="s">
        <v>852</v>
      </c>
      <c r="J214" s="2" t="s">
        <v>18</v>
      </c>
      <c r="K214" s="3" t="s">
        <v>31</v>
      </c>
      <c r="L214" s="3" t="s">
        <v>32</v>
      </c>
      <c r="M214" s="15">
        <v>46217</v>
      </c>
      <c r="N214" s="16" t="str">
        <f>IFERROR(VLOOKUP(A214,[1]Hoja1!$A$2:$J$68,10,FALSE), " - ")</f>
        <v xml:space="preserve"> - </v>
      </c>
    </row>
    <row r="215" spans="1:14" x14ac:dyDescent="0.3">
      <c r="A215" s="5">
        <v>35767</v>
      </c>
      <c r="B215" s="5" t="s">
        <v>12</v>
      </c>
      <c r="C215" s="6" t="s">
        <v>13</v>
      </c>
      <c r="D215" s="5" t="s">
        <v>26</v>
      </c>
      <c r="E215" s="13">
        <v>46184</v>
      </c>
      <c r="F215" s="5" t="s">
        <v>27</v>
      </c>
      <c r="G215" s="6" t="s">
        <v>185</v>
      </c>
      <c r="H215" s="6" t="s">
        <v>77</v>
      </c>
      <c r="I215" s="4" t="s">
        <v>186</v>
      </c>
      <c r="J215" s="5" t="s">
        <v>18</v>
      </c>
      <c r="K215" s="6" t="s">
        <v>35</v>
      </c>
      <c r="L215" s="6" t="s">
        <v>187</v>
      </c>
      <c r="M215" s="15">
        <v>46217</v>
      </c>
      <c r="N215" s="16" t="str">
        <f>IFERROR(VLOOKUP(A215,[1]Hoja1!$A$2:$J$68,10,FALSE), " - ")</f>
        <v xml:space="preserve"> - </v>
      </c>
    </row>
    <row r="216" spans="1:14" x14ac:dyDescent="0.3">
      <c r="A216" s="2">
        <v>35771</v>
      </c>
      <c r="B216" s="2" t="s">
        <v>12</v>
      </c>
      <c r="C216" s="3" t="s">
        <v>13</v>
      </c>
      <c r="D216" s="2" t="s">
        <v>26</v>
      </c>
      <c r="E216" s="12">
        <v>46184</v>
      </c>
      <c r="F216" s="2" t="s">
        <v>27</v>
      </c>
      <c r="G216" s="3" t="s">
        <v>553</v>
      </c>
      <c r="H216" s="3" t="s">
        <v>501</v>
      </c>
      <c r="I216" s="4" t="s">
        <v>362</v>
      </c>
      <c r="J216" s="2" t="s">
        <v>18</v>
      </c>
      <c r="K216" s="3" t="s">
        <v>35</v>
      </c>
      <c r="L216" s="3" t="s">
        <v>554</v>
      </c>
      <c r="M216" s="15">
        <v>46217</v>
      </c>
      <c r="N216" s="16" t="str">
        <f>IFERROR(VLOOKUP(A216,[1]Hoja1!$A$2:$J$68,10,FALSE), " - ")</f>
        <v xml:space="preserve"> - </v>
      </c>
    </row>
    <row r="217" spans="1:14" x14ac:dyDescent="0.3">
      <c r="A217" s="2">
        <v>35875</v>
      </c>
      <c r="B217" s="2" t="s">
        <v>12</v>
      </c>
      <c r="C217" s="3" t="s">
        <v>57</v>
      </c>
      <c r="D217" s="2" t="s">
        <v>26</v>
      </c>
      <c r="E217" s="12">
        <v>46184</v>
      </c>
      <c r="F217" s="2" t="s">
        <v>27</v>
      </c>
      <c r="G217" s="3" t="s">
        <v>180</v>
      </c>
      <c r="H217" s="3" t="s">
        <v>130</v>
      </c>
      <c r="I217" s="7" t="s">
        <v>131</v>
      </c>
      <c r="J217" s="2" t="s">
        <v>18</v>
      </c>
      <c r="K217" s="3" t="s">
        <v>31</v>
      </c>
      <c r="L217" s="3" t="s">
        <v>32</v>
      </c>
      <c r="M217" s="15">
        <v>46217</v>
      </c>
      <c r="N217" s="16" t="str">
        <f>IFERROR(VLOOKUP(A217,[1]Hoja1!$A$2:$J$68,10,FALSE), " - ")</f>
        <v xml:space="preserve"> - </v>
      </c>
    </row>
    <row r="218" spans="1:14" x14ac:dyDescent="0.3">
      <c r="A218" s="2">
        <v>35876</v>
      </c>
      <c r="B218" s="2" t="s">
        <v>12</v>
      </c>
      <c r="C218" s="3" t="s">
        <v>57</v>
      </c>
      <c r="D218" s="2" t="s">
        <v>26</v>
      </c>
      <c r="E218" s="12">
        <v>46184</v>
      </c>
      <c r="F218" s="2" t="s">
        <v>27</v>
      </c>
      <c r="G218" s="3" t="s">
        <v>129</v>
      </c>
      <c r="H218" s="3" t="s">
        <v>130</v>
      </c>
      <c r="I218" s="7" t="s">
        <v>131</v>
      </c>
      <c r="J218" s="2" t="s">
        <v>18</v>
      </c>
      <c r="K218" s="3" t="s">
        <v>31</v>
      </c>
      <c r="L218" s="3" t="s">
        <v>32</v>
      </c>
      <c r="M218" s="15">
        <v>46217</v>
      </c>
      <c r="N218" s="16" t="str">
        <f>IFERROR(VLOOKUP(A218,[1]Hoja1!$A$2:$J$68,10,FALSE), " - ")</f>
        <v xml:space="preserve"> - </v>
      </c>
    </row>
    <row r="219" spans="1:14" x14ac:dyDescent="0.3">
      <c r="A219" s="5">
        <v>35876</v>
      </c>
      <c r="B219" s="5" t="s">
        <v>12</v>
      </c>
      <c r="C219" s="6" t="s">
        <v>57</v>
      </c>
      <c r="D219" s="5" t="s">
        <v>26</v>
      </c>
      <c r="E219" s="13">
        <v>46184</v>
      </c>
      <c r="F219" s="5" t="s">
        <v>27</v>
      </c>
      <c r="G219" s="6" t="s">
        <v>129</v>
      </c>
      <c r="H219" s="6" t="s">
        <v>130</v>
      </c>
      <c r="I219" s="7" t="s">
        <v>131</v>
      </c>
      <c r="J219" s="5" t="s">
        <v>18</v>
      </c>
      <c r="K219" s="6" t="s">
        <v>31</v>
      </c>
      <c r="L219" s="6" t="s">
        <v>32</v>
      </c>
      <c r="M219" s="15">
        <v>46217</v>
      </c>
      <c r="N219" s="16" t="str">
        <f>IFERROR(VLOOKUP(A219,[1]Hoja1!$A$2:$J$68,10,FALSE), " - ")</f>
        <v xml:space="preserve"> - </v>
      </c>
    </row>
    <row r="220" spans="1:14" x14ac:dyDescent="0.3">
      <c r="A220" s="5">
        <v>35877</v>
      </c>
      <c r="B220" s="5" t="s">
        <v>12</v>
      </c>
      <c r="C220" s="6" t="s">
        <v>57</v>
      </c>
      <c r="D220" s="5" t="s">
        <v>26</v>
      </c>
      <c r="E220" s="13">
        <v>46184</v>
      </c>
      <c r="F220" s="5" t="s">
        <v>27</v>
      </c>
      <c r="G220" s="6" t="s">
        <v>429</v>
      </c>
      <c r="H220" s="6" t="s">
        <v>130</v>
      </c>
      <c r="I220" s="7" t="s">
        <v>131</v>
      </c>
      <c r="J220" s="5" t="s">
        <v>18</v>
      </c>
      <c r="K220" s="6" t="s">
        <v>31</v>
      </c>
      <c r="L220" s="6" t="s">
        <v>32</v>
      </c>
      <c r="M220" s="15">
        <v>46217</v>
      </c>
      <c r="N220" s="16" t="str">
        <f>IFERROR(VLOOKUP(A220,[1]Hoja1!$A$2:$J$68,10,FALSE), " - ")</f>
        <v xml:space="preserve"> - </v>
      </c>
    </row>
    <row r="221" spans="1:14" x14ac:dyDescent="0.3">
      <c r="A221" s="2">
        <v>35878</v>
      </c>
      <c r="B221" s="2" t="s">
        <v>12</v>
      </c>
      <c r="C221" s="3" t="s">
        <v>57</v>
      </c>
      <c r="D221" s="2" t="s">
        <v>26</v>
      </c>
      <c r="E221" s="12">
        <v>46184</v>
      </c>
      <c r="F221" s="2" t="s">
        <v>27</v>
      </c>
      <c r="G221" s="3" t="s">
        <v>430</v>
      </c>
      <c r="H221" s="3" t="s">
        <v>237</v>
      </c>
      <c r="I221" s="7" t="s">
        <v>131</v>
      </c>
      <c r="J221" s="2" t="s">
        <v>18</v>
      </c>
      <c r="K221" s="3" t="s">
        <v>31</v>
      </c>
      <c r="L221" s="3" t="s">
        <v>32</v>
      </c>
      <c r="M221" s="15">
        <v>46217</v>
      </c>
      <c r="N221" s="16" t="str">
        <f>IFERROR(VLOOKUP(A221,[1]Hoja1!$A$2:$J$68,10,FALSE), " - ")</f>
        <v xml:space="preserve"> - </v>
      </c>
    </row>
    <row r="222" spans="1:14" x14ac:dyDescent="0.3">
      <c r="A222" s="2">
        <v>35880</v>
      </c>
      <c r="B222" s="2" t="s">
        <v>12</v>
      </c>
      <c r="C222" s="3" t="s">
        <v>57</v>
      </c>
      <c r="D222" s="2" t="s">
        <v>26</v>
      </c>
      <c r="E222" s="12">
        <v>46184</v>
      </c>
      <c r="F222" s="2" t="s">
        <v>27</v>
      </c>
      <c r="G222" s="3" t="s">
        <v>490</v>
      </c>
      <c r="H222" s="3" t="s">
        <v>491</v>
      </c>
      <c r="I222" s="7" t="s">
        <v>131</v>
      </c>
      <c r="J222" s="2" t="s">
        <v>18</v>
      </c>
      <c r="K222" s="3" t="s">
        <v>31</v>
      </c>
      <c r="L222" s="3" t="s">
        <v>32</v>
      </c>
      <c r="M222" s="15">
        <v>46217</v>
      </c>
      <c r="N222" s="16" t="str">
        <f>IFERROR(VLOOKUP(A222,[1]Hoja1!$A$2:$J$68,10,FALSE), " - ")</f>
        <v xml:space="preserve"> - </v>
      </c>
    </row>
    <row r="223" spans="1:14" x14ac:dyDescent="0.3">
      <c r="A223" s="5">
        <v>35881</v>
      </c>
      <c r="B223" s="5" t="s">
        <v>12</v>
      </c>
      <c r="C223" s="6" t="s">
        <v>57</v>
      </c>
      <c r="D223" s="5" t="s">
        <v>26</v>
      </c>
      <c r="E223" s="13">
        <v>46184</v>
      </c>
      <c r="F223" s="5" t="s">
        <v>27</v>
      </c>
      <c r="G223" s="6" t="s">
        <v>132</v>
      </c>
      <c r="H223" s="6" t="s">
        <v>130</v>
      </c>
      <c r="I223" s="7" t="s">
        <v>131</v>
      </c>
      <c r="J223" s="5" t="s">
        <v>18</v>
      </c>
      <c r="K223" s="6" t="s">
        <v>31</v>
      </c>
      <c r="L223" s="6" t="s">
        <v>32</v>
      </c>
      <c r="M223" s="15">
        <v>46217</v>
      </c>
      <c r="N223" s="16" t="str">
        <f>IFERROR(VLOOKUP(A223,[1]Hoja1!$A$2:$J$68,10,FALSE), " - ")</f>
        <v xml:space="preserve"> - </v>
      </c>
    </row>
    <row r="224" spans="1:14" x14ac:dyDescent="0.3">
      <c r="A224" s="2">
        <v>35883</v>
      </c>
      <c r="B224" s="2" t="s">
        <v>12</v>
      </c>
      <c r="C224" s="3" t="s">
        <v>57</v>
      </c>
      <c r="D224" s="2" t="s">
        <v>26</v>
      </c>
      <c r="E224" s="12">
        <v>46184</v>
      </c>
      <c r="F224" s="2" t="s">
        <v>27</v>
      </c>
      <c r="G224" s="3" t="s">
        <v>353</v>
      </c>
      <c r="H224" s="3" t="s">
        <v>17</v>
      </c>
      <c r="I224" s="7" t="s">
        <v>279</v>
      </c>
      <c r="J224" s="2" t="s">
        <v>18</v>
      </c>
      <c r="K224" s="3" t="s">
        <v>31</v>
      </c>
      <c r="L224" s="3" t="s">
        <v>32</v>
      </c>
      <c r="M224" s="15">
        <v>46217</v>
      </c>
      <c r="N224" s="16" t="str">
        <f>IFERROR(VLOOKUP(A224,[1]Hoja1!$A$2:$J$68,10,FALSE), " - ")</f>
        <v xml:space="preserve"> - </v>
      </c>
    </row>
    <row r="225" spans="1:14" x14ac:dyDescent="0.3">
      <c r="A225" s="5">
        <v>35895</v>
      </c>
      <c r="B225" s="5" t="s">
        <v>12</v>
      </c>
      <c r="C225" s="6" t="s">
        <v>57</v>
      </c>
      <c r="D225" s="5" t="s">
        <v>26</v>
      </c>
      <c r="E225" s="13">
        <v>46184</v>
      </c>
      <c r="F225" s="5" t="s">
        <v>27</v>
      </c>
      <c r="G225" s="6" t="s">
        <v>261</v>
      </c>
      <c r="H225" s="6" t="s">
        <v>38</v>
      </c>
      <c r="I225" s="7" t="s">
        <v>262</v>
      </c>
      <c r="J225" s="5" t="s">
        <v>18</v>
      </c>
      <c r="K225" s="6" t="s">
        <v>31</v>
      </c>
      <c r="L225" s="6" t="s">
        <v>32</v>
      </c>
      <c r="M225" s="15">
        <v>46217</v>
      </c>
      <c r="N225" s="16" t="str">
        <f>IFERROR(VLOOKUP(A225,[1]Hoja1!$A$2:$J$68,10,FALSE), " - ")</f>
        <v xml:space="preserve"> - </v>
      </c>
    </row>
    <row r="226" spans="1:14" x14ac:dyDescent="0.3">
      <c r="A226" s="5">
        <v>35895</v>
      </c>
      <c r="B226" s="5" t="s">
        <v>12</v>
      </c>
      <c r="C226" s="6" t="s">
        <v>57</v>
      </c>
      <c r="D226" s="5" t="s">
        <v>26</v>
      </c>
      <c r="E226" s="13">
        <v>46184</v>
      </c>
      <c r="F226" s="5" t="s">
        <v>27</v>
      </c>
      <c r="G226" s="6" t="s">
        <v>261</v>
      </c>
      <c r="H226" s="6" t="s">
        <v>38</v>
      </c>
      <c r="I226" s="7" t="s">
        <v>123</v>
      </c>
      <c r="J226" s="5" t="s">
        <v>18</v>
      </c>
      <c r="K226" s="6" t="s">
        <v>31</v>
      </c>
      <c r="L226" s="6" t="s">
        <v>32</v>
      </c>
      <c r="M226" s="15">
        <v>46217</v>
      </c>
      <c r="N226" s="16" t="str">
        <f>IFERROR(VLOOKUP(A226,[1]Hoja1!$A$2:$J$68,10,FALSE), " - ")</f>
        <v xml:space="preserve"> - </v>
      </c>
    </row>
    <row r="227" spans="1:14" x14ac:dyDescent="0.3">
      <c r="A227" s="5">
        <v>35895</v>
      </c>
      <c r="B227" s="5" t="s">
        <v>12</v>
      </c>
      <c r="C227" s="6" t="s">
        <v>57</v>
      </c>
      <c r="D227" s="5" t="s">
        <v>26</v>
      </c>
      <c r="E227" s="13">
        <v>46184</v>
      </c>
      <c r="F227" s="5" t="s">
        <v>27</v>
      </c>
      <c r="G227" s="6" t="s">
        <v>261</v>
      </c>
      <c r="H227" s="6" t="s">
        <v>38</v>
      </c>
      <c r="I227" s="7" t="s">
        <v>417</v>
      </c>
      <c r="J227" s="5" t="s">
        <v>18</v>
      </c>
      <c r="K227" s="6" t="s">
        <v>31</v>
      </c>
      <c r="L227" s="6" t="s">
        <v>32</v>
      </c>
      <c r="M227" s="15">
        <v>46217</v>
      </c>
      <c r="N227" s="16" t="str">
        <f>IFERROR(VLOOKUP(A227,[1]Hoja1!$A$2:$J$68,10,FALSE), " - ")</f>
        <v xml:space="preserve"> - </v>
      </c>
    </row>
    <row r="228" spans="1:14" x14ac:dyDescent="0.3">
      <c r="A228" s="5">
        <v>35897</v>
      </c>
      <c r="B228" s="5" t="s">
        <v>12</v>
      </c>
      <c r="C228" s="6" t="s">
        <v>57</v>
      </c>
      <c r="D228" s="5" t="s">
        <v>26</v>
      </c>
      <c r="E228" s="13">
        <v>46184</v>
      </c>
      <c r="F228" s="5" t="s">
        <v>27</v>
      </c>
      <c r="G228" s="6" t="s">
        <v>634</v>
      </c>
      <c r="H228" s="6" t="s">
        <v>20</v>
      </c>
      <c r="I228" s="7" t="s">
        <v>531</v>
      </c>
      <c r="J228" s="5" t="s">
        <v>18</v>
      </c>
      <c r="K228" s="6" t="s">
        <v>31</v>
      </c>
      <c r="L228" s="6" t="s">
        <v>32</v>
      </c>
      <c r="M228" s="15">
        <v>46217</v>
      </c>
      <c r="N228" s="16" t="str">
        <f>IFERROR(VLOOKUP(A228,[1]Hoja1!$A$2:$J$68,10,FALSE), " - ")</f>
        <v xml:space="preserve"> - </v>
      </c>
    </row>
    <row r="229" spans="1:14" x14ac:dyDescent="0.3">
      <c r="A229" s="5">
        <v>35898</v>
      </c>
      <c r="B229" s="5" t="s">
        <v>12</v>
      </c>
      <c r="C229" s="6" t="s">
        <v>57</v>
      </c>
      <c r="D229" s="5" t="s">
        <v>26</v>
      </c>
      <c r="E229" s="13">
        <v>46184</v>
      </c>
      <c r="F229" s="5" t="s">
        <v>27</v>
      </c>
      <c r="G229" s="6" t="s">
        <v>353</v>
      </c>
      <c r="H229" s="6" t="s">
        <v>17</v>
      </c>
      <c r="I229" s="7" t="s">
        <v>279</v>
      </c>
      <c r="J229" s="5" t="s">
        <v>18</v>
      </c>
      <c r="K229" s="6" t="s">
        <v>31</v>
      </c>
      <c r="L229" s="6" t="s">
        <v>32</v>
      </c>
      <c r="M229" s="15">
        <v>46217</v>
      </c>
      <c r="N229" s="16" t="str">
        <f>IFERROR(VLOOKUP(A229,[1]Hoja1!$A$2:$J$68,10,FALSE), " - ")</f>
        <v xml:space="preserve"> - </v>
      </c>
    </row>
    <row r="230" spans="1:14" x14ac:dyDescent="0.3">
      <c r="A230" s="5">
        <v>36117</v>
      </c>
      <c r="B230" s="5" t="s">
        <v>12</v>
      </c>
      <c r="C230" s="6" t="s">
        <v>80</v>
      </c>
      <c r="D230" s="5" t="s">
        <v>26</v>
      </c>
      <c r="E230" s="13">
        <v>46184</v>
      </c>
      <c r="F230" s="5" t="s">
        <v>27</v>
      </c>
      <c r="G230" s="6" t="s">
        <v>883</v>
      </c>
      <c r="H230" s="6" t="s">
        <v>91</v>
      </c>
      <c r="I230" s="4" t="s">
        <v>547</v>
      </c>
      <c r="J230" s="5" t="s">
        <v>18</v>
      </c>
      <c r="K230" s="6" t="s">
        <v>884</v>
      </c>
      <c r="L230" s="6" t="s">
        <v>885</v>
      </c>
      <c r="M230" s="15">
        <v>46217</v>
      </c>
      <c r="N230" s="16" t="str">
        <f>IFERROR(VLOOKUP(A230,[1]Hoja1!$A$2:$J$68,10,FALSE), " - ")</f>
        <v xml:space="preserve"> - </v>
      </c>
    </row>
    <row r="231" spans="1:14" x14ac:dyDescent="0.3">
      <c r="A231" s="5">
        <v>36171</v>
      </c>
      <c r="B231" s="5" t="s">
        <v>12</v>
      </c>
      <c r="C231" s="6" t="s">
        <v>63</v>
      </c>
      <c r="D231" s="5" t="s">
        <v>26</v>
      </c>
      <c r="E231" s="13">
        <v>46184</v>
      </c>
      <c r="F231" s="5" t="s">
        <v>27</v>
      </c>
      <c r="G231" s="6" t="s">
        <v>824</v>
      </c>
      <c r="H231" s="6" t="s">
        <v>77</v>
      </c>
      <c r="I231" s="4" t="s">
        <v>123</v>
      </c>
      <c r="J231" s="5" t="s">
        <v>18</v>
      </c>
      <c r="K231" s="6" t="s">
        <v>35</v>
      </c>
      <c r="L231" s="6" t="s">
        <v>825</v>
      </c>
      <c r="M231" s="15">
        <v>46217</v>
      </c>
      <c r="N231" s="16" t="str">
        <f>IFERROR(VLOOKUP(A231,[1]Hoja1!$A$2:$J$68,10,FALSE), " - ")</f>
        <v xml:space="preserve"> - </v>
      </c>
    </row>
    <row r="232" spans="1:14" x14ac:dyDescent="0.3">
      <c r="A232" s="2">
        <v>35779</v>
      </c>
      <c r="B232" s="2" t="s">
        <v>12</v>
      </c>
      <c r="C232" s="3" t="s">
        <v>80</v>
      </c>
      <c r="D232" s="2" t="s">
        <v>26</v>
      </c>
      <c r="E232" s="12">
        <v>46185</v>
      </c>
      <c r="F232" s="2" t="s">
        <v>27</v>
      </c>
      <c r="G232" s="3" t="s">
        <v>308</v>
      </c>
      <c r="H232" s="3" t="s">
        <v>196</v>
      </c>
      <c r="I232" s="4" t="s">
        <v>309</v>
      </c>
      <c r="J232" s="2" t="s">
        <v>18</v>
      </c>
      <c r="K232" s="3" t="s">
        <v>310</v>
      </c>
      <c r="L232" s="3" t="s">
        <v>311</v>
      </c>
      <c r="M232" s="15">
        <v>46217</v>
      </c>
      <c r="N232" s="16" t="str">
        <f>IFERROR(VLOOKUP(A232,[1]Hoja1!$A$2:$J$68,10,FALSE), " - ")</f>
        <v xml:space="preserve"> - </v>
      </c>
    </row>
    <row r="233" spans="1:14" x14ac:dyDescent="0.3">
      <c r="A233" s="5">
        <v>35781</v>
      </c>
      <c r="B233" s="5" t="s">
        <v>12</v>
      </c>
      <c r="C233" s="6" t="s">
        <v>13</v>
      </c>
      <c r="D233" s="5" t="s">
        <v>26</v>
      </c>
      <c r="E233" s="13">
        <v>46185</v>
      </c>
      <c r="F233" s="9"/>
      <c r="G233" s="6" t="s">
        <v>252</v>
      </c>
      <c r="H233" s="6" t="s">
        <v>253</v>
      </c>
      <c r="I233" s="7" t="s">
        <v>608</v>
      </c>
      <c r="J233" s="5" t="s">
        <v>18</v>
      </c>
      <c r="K233" s="6" t="s">
        <v>31</v>
      </c>
      <c r="L233" s="6" t="s">
        <v>32</v>
      </c>
      <c r="M233" s="15">
        <v>46217</v>
      </c>
      <c r="N233" s="16" t="str">
        <f>IFERROR(VLOOKUP(A233,[1]Hoja1!$A$2:$J$68,10,FALSE), " - ")</f>
        <v xml:space="preserve"> - </v>
      </c>
    </row>
    <row r="234" spans="1:14" x14ac:dyDescent="0.3">
      <c r="A234" s="5">
        <v>35783</v>
      </c>
      <c r="B234" s="5" t="s">
        <v>12</v>
      </c>
      <c r="C234" s="6" t="s">
        <v>13</v>
      </c>
      <c r="D234" s="5" t="s">
        <v>26</v>
      </c>
      <c r="E234" s="13">
        <v>46188</v>
      </c>
      <c r="F234" s="5" t="s">
        <v>27</v>
      </c>
      <c r="G234" s="6" t="s">
        <v>67</v>
      </c>
      <c r="H234" s="6" t="s">
        <v>20</v>
      </c>
      <c r="I234" s="4" t="s">
        <v>487</v>
      </c>
      <c r="J234" s="5" t="s">
        <v>18</v>
      </c>
      <c r="K234" s="6" t="s">
        <v>488</v>
      </c>
      <c r="L234" s="6" t="s">
        <v>646</v>
      </c>
      <c r="M234" s="15">
        <v>46217</v>
      </c>
      <c r="N234" s="16" t="str">
        <f>IFERROR(VLOOKUP(A234,[1]Hoja1!$A$2:$J$68,10,FALSE), " - ")</f>
        <v xml:space="preserve"> - </v>
      </c>
    </row>
    <row r="235" spans="1:14" x14ac:dyDescent="0.3">
      <c r="A235" s="5">
        <v>35791</v>
      </c>
      <c r="B235" s="5" t="s">
        <v>12</v>
      </c>
      <c r="C235" s="6" t="s">
        <v>13</v>
      </c>
      <c r="D235" s="5" t="s">
        <v>26</v>
      </c>
      <c r="E235" s="13">
        <v>46188</v>
      </c>
      <c r="F235" s="5" t="s">
        <v>27</v>
      </c>
      <c r="G235" s="6" t="s">
        <v>555</v>
      </c>
      <c r="H235" s="6" t="s">
        <v>341</v>
      </c>
      <c r="I235" s="4" t="s">
        <v>556</v>
      </c>
      <c r="J235" s="5" t="s">
        <v>18</v>
      </c>
      <c r="K235" s="6" t="s">
        <v>424</v>
      </c>
      <c r="L235" s="6" t="s">
        <v>557</v>
      </c>
      <c r="M235" s="15">
        <v>46217</v>
      </c>
      <c r="N235" s="16" t="str">
        <f>IFERROR(VLOOKUP(A235,[1]Hoja1!$A$2:$J$68,10,FALSE), " - ")</f>
        <v xml:space="preserve"> - </v>
      </c>
    </row>
    <row r="236" spans="1:14" x14ac:dyDescent="0.3">
      <c r="A236" s="5">
        <v>35791</v>
      </c>
      <c r="B236" s="5" t="s">
        <v>12</v>
      </c>
      <c r="C236" s="6" t="s">
        <v>13</v>
      </c>
      <c r="D236" s="5" t="s">
        <v>26</v>
      </c>
      <c r="E236" s="13">
        <v>46188</v>
      </c>
      <c r="F236" s="5" t="s">
        <v>27</v>
      </c>
      <c r="G236" s="6" t="s">
        <v>555</v>
      </c>
      <c r="H236" s="6" t="s">
        <v>341</v>
      </c>
      <c r="I236" s="4" t="s">
        <v>556</v>
      </c>
      <c r="J236" s="5" t="s">
        <v>18</v>
      </c>
      <c r="K236" s="6" t="s">
        <v>424</v>
      </c>
      <c r="L236" s="6" t="s">
        <v>557</v>
      </c>
      <c r="M236" s="15">
        <v>46217</v>
      </c>
      <c r="N236" s="16" t="str">
        <f>IFERROR(VLOOKUP(A236,[1]Hoja1!$A$2:$J$68,10,FALSE), " - ")</f>
        <v xml:space="preserve"> - </v>
      </c>
    </row>
    <row r="237" spans="1:14" x14ac:dyDescent="0.3">
      <c r="A237" s="2">
        <v>35799</v>
      </c>
      <c r="B237" s="2" t="s">
        <v>12</v>
      </c>
      <c r="C237" s="3" t="s">
        <v>13</v>
      </c>
      <c r="D237" s="2" t="s">
        <v>26</v>
      </c>
      <c r="E237" s="12">
        <v>46188</v>
      </c>
      <c r="F237" s="2" t="s">
        <v>27</v>
      </c>
      <c r="G237" s="3" t="s">
        <v>49</v>
      </c>
      <c r="H237" s="3" t="s">
        <v>20</v>
      </c>
      <c r="I237" s="4" t="s">
        <v>50</v>
      </c>
      <c r="J237" s="2" t="s">
        <v>18</v>
      </c>
      <c r="K237" s="3" t="s">
        <v>51</v>
      </c>
      <c r="L237" s="3" t="s">
        <v>52</v>
      </c>
      <c r="M237" s="15">
        <v>46217</v>
      </c>
      <c r="N237" s="16" t="str">
        <f>IFERROR(VLOOKUP(A237,[1]Hoja1!$A$2:$J$68,10,FALSE), " - ")</f>
        <v xml:space="preserve"> - </v>
      </c>
    </row>
    <row r="238" spans="1:14" x14ac:dyDescent="0.3">
      <c r="A238" s="5">
        <v>35799</v>
      </c>
      <c r="B238" s="5" t="s">
        <v>12</v>
      </c>
      <c r="C238" s="6" t="s">
        <v>13</v>
      </c>
      <c r="D238" s="5" t="s">
        <v>26</v>
      </c>
      <c r="E238" s="13">
        <v>46188</v>
      </c>
      <c r="F238" s="5" t="s">
        <v>27</v>
      </c>
      <c r="G238" s="6" t="s">
        <v>49</v>
      </c>
      <c r="H238" s="6" t="s">
        <v>20</v>
      </c>
      <c r="I238" s="4" t="s">
        <v>312</v>
      </c>
      <c r="J238" s="5" t="s">
        <v>18</v>
      </c>
      <c r="K238" s="6" t="s">
        <v>51</v>
      </c>
      <c r="L238" s="6" t="s">
        <v>52</v>
      </c>
      <c r="M238" s="15">
        <v>46217</v>
      </c>
      <c r="N238" s="16" t="str">
        <f>IFERROR(VLOOKUP(A238,[1]Hoja1!$A$2:$J$68,10,FALSE), " - ")</f>
        <v xml:space="preserve"> - </v>
      </c>
    </row>
    <row r="239" spans="1:14" x14ac:dyDescent="0.3">
      <c r="A239" s="2">
        <v>35817</v>
      </c>
      <c r="B239" s="2" t="s">
        <v>12</v>
      </c>
      <c r="C239" s="3" t="s">
        <v>13</v>
      </c>
      <c r="D239" s="2" t="s">
        <v>26</v>
      </c>
      <c r="E239" s="12">
        <v>46188</v>
      </c>
      <c r="F239" s="2" t="s">
        <v>27</v>
      </c>
      <c r="G239" s="3" t="s">
        <v>53</v>
      </c>
      <c r="H239" s="3" t="s">
        <v>20</v>
      </c>
      <c r="I239" s="4" t="s">
        <v>558</v>
      </c>
      <c r="J239" s="2" t="s">
        <v>18</v>
      </c>
      <c r="K239" s="3" t="s">
        <v>22</v>
      </c>
      <c r="L239" s="3" t="s">
        <v>559</v>
      </c>
      <c r="M239" s="15">
        <v>46217</v>
      </c>
      <c r="N239" s="16" t="str">
        <f>IFERROR(VLOOKUP(A239,[1]Hoja1!$A$2:$J$68,10,FALSE), " - ")</f>
        <v xml:space="preserve"> - </v>
      </c>
    </row>
    <row r="240" spans="1:14" x14ac:dyDescent="0.3">
      <c r="A240" s="5">
        <v>35817</v>
      </c>
      <c r="B240" s="5" t="s">
        <v>12</v>
      </c>
      <c r="C240" s="6" t="s">
        <v>13</v>
      </c>
      <c r="D240" s="5" t="s">
        <v>26</v>
      </c>
      <c r="E240" s="13">
        <v>46188</v>
      </c>
      <c r="F240" s="5" t="s">
        <v>27</v>
      </c>
      <c r="G240" s="6" t="s">
        <v>53</v>
      </c>
      <c r="H240" s="6" t="s">
        <v>20</v>
      </c>
      <c r="I240" s="4" t="s">
        <v>493</v>
      </c>
      <c r="J240" s="5" t="s">
        <v>18</v>
      </c>
      <c r="K240" s="6" t="s">
        <v>560</v>
      </c>
      <c r="L240" s="6" t="s">
        <v>559</v>
      </c>
      <c r="M240" s="15">
        <v>46217</v>
      </c>
      <c r="N240" s="16" t="str">
        <f>IFERROR(VLOOKUP(A240,[1]Hoja1!$A$2:$J$68,10,FALSE), " - ")</f>
        <v xml:space="preserve"> - </v>
      </c>
    </row>
    <row r="241" spans="1:14" x14ac:dyDescent="0.3">
      <c r="A241" s="2">
        <v>35817</v>
      </c>
      <c r="B241" s="2" t="s">
        <v>12</v>
      </c>
      <c r="C241" s="3" t="s">
        <v>13</v>
      </c>
      <c r="D241" s="2" t="s">
        <v>26</v>
      </c>
      <c r="E241" s="12">
        <v>46188</v>
      </c>
      <c r="F241" s="2" t="s">
        <v>27</v>
      </c>
      <c r="G241" s="3" t="s">
        <v>53</v>
      </c>
      <c r="H241" s="3" t="s">
        <v>20</v>
      </c>
      <c r="I241" s="4" t="s">
        <v>561</v>
      </c>
      <c r="J241" s="2" t="s">
        <v>18</v>
      </c>
      <c r="K241" s="3" t="s">
        <v>107</v>
      </c>
      <c r="L241" s="3" t="s">
        <v>559</v>
      </c>
      <c r="M241" s="15">
        <v>46217</v>
      </c>
      <c r="N241" s="16" t="str">
        <f>IFERROR(VLOOKUP(A241,[1]Hoja1!$A$2:$J$68,10,FALSE), " - ")</f>
        <v xml:space="preserve"> - </v>
      </c>
    </row>
    <row r="242" spans="1:14" x14ac:dyDescent="0.3">
      <c r="A242" s="2">
        <v>35817</v>
      </c>
      <c r="B242" s="2" t="s">
        <v>12</v>
      </c>
      <c r="C242" s="3" t="s">
        <v>13</v>
      </c>
      <c r="D242" s="2" t="s">
        <v>26</v>
      </c>
      <c r="E242" s="12">
        <v>46188</v>
      </c>
      <c r="F242" s="2" t="s">
        <v>27</v>
      </c>
      <c r="G242" s="3" t="s">
        <v>53</v>
      </c>
      <c r="H242" s="3" t="s">
        <v>20</v>
      </c>
      <c r="I242" s="4" t="s">
        <v>216</v>
      </c>
      <c r="J242" s="2" t="s">
        <v>18</v>
      </c>
      <c r="K242" s="3" t="s">
        <v>35</v>
      </c>
      <c r="L242" s="3" t="s">
        <v>559</v>
      </c>
      <c r="M242" s="15">
        <v>46217</v>
      </c>
      <c r="N242" s="16" t="str">
        <f>IFERROR(VLOOKUP(A242,[1]Hoja1!$A$2:$J$68,10,FALSE), " - ")</f>
        <v xml:space="preserve"> - </v>
      </c>
    </row>
    <row r="243" spans="1:14" x14ac:dyDescent="0.3">
      <c r="A243" s="2">
        <v>35828</v>
      </c>
      <c r="B243" s="2" t="s">
        <v>12</v>
      </c>
      <c r="C243" s="3" t="s">
        <v>80</v>
      </c>
      <c r="D243" s="2" t="s">
        <v>14</v>
      </c>
      <c r="E243" s="12">
        <v>46188</v>
      </c>
      <c r="F243" s="2" t="s">
        <v>15</v>
      </c>
      <c r="G243" s="3" t="s">
        <v>200</v>
      </c>
      <c r="H243" s="3" t="s">
        <v>201</v>
      </c>
      <c r="I243" s="4" t="s">
        <v>202</v>
      </c>
      <c r="J243" s="2" t="s">
        <v>18</v>
      </c>
      <c r="K243" s="3" t="s">
        <v>203</v>
      </c>
      <c r="L243" s="3" t="s">
        <v>204</v>
      </c>
      <c r="M243" s="15">
        <v>46217</v>
      </c>
      <c r="N243" s="16" t="str">
        <f>IFERROR(VLOOKUP(A243,[1]Hoja1!$A$2:$J$68,10,FALSE), " - ")</f>
        <v xml:space="preserve"> - </v>
      </c>
    </row>
    <row r="244" spans="1:14" x14ac:dyDescent="0.3">
      <c r="A244" s="5">
        <v>36068</v>
      </c>
      <c r="B244" s="5" t="s">
        <v>12</v>
      </c>
      <c r="C244" s="6" t="s">
        <v>57</v>
      </c>
      <c r="D244" s="5" t="s">
        <v>26</v>
      </c>
      <c r="E244" s="13">
        <v>46188</v>
      </c>
      <c r="F244" s="5" t="s">
        <v>27</v>
      </c>
      <c r="G244" s="6" t="s">
        <v>637</v>
      </c>
      <c r="H244" s="6" t="s">
        <v>47</v>
      </c>
      <c r="I244" s="7" t="s">
        <v>638</v>
      </c>
      <c r="J244" s="5" t="s">
        <v>18</v>
      </c>
      <c r="K244" s="6" t="s">
        <v>31</v>
      </c>
      <c r="L244" s="6" t="s">
        <v>32</v>
      </c>
      <c r="M244" s="15">
        <v>46217</v>
      </c>
      <c r="N244" s="16" t="str">
        <f>IFERROR(VLOOKUP(A244,[1]Hoja1!$A$2:$J$68,10,FALSE), " - ")</f>
        <v xml:space="preserve"> - </v>
      </c>
    </row>
    <row r="245" spans="1:14" x14ac:dyDescent="0.3">
      <c r="A245" s="2">
        <v>36068</v>
      </c>
      <c r="B245" s="2" t="s">
        <v>12</v>
      </c>
      <c r="C245" s="3" t="s">
        <v>57</v>
      </c>
      <c r="D245" s="2" t="s">
        <v>26</v>
      </c>
      <c r="E245" s="12">
        <v>46188</v>
      </c>
      <c r="F245" s="2" t="s">
        <v>27</v>
      </c>
      <c r="G245" s="3" t="s">
        <v>637</v>
      </c>
      <c r="H245" s="3" t="s">
        <v>47</v>
      </c>
      <c r="I245" s="7" t="s">
        <v>263</v>
      </c>
      <c r="J245" s="2" t="s">
        <v>18</v>
      </c>
      <c r="K245" s="3" t="s">
        <v>31</v>
      </c>
      <c r="L245" s="3" t="s">
        <v>32</v>
      </c>
      <c r="M245" s="15">
        <v>46217</v>
      </c>
      <c r="N245" s="16" t="str">
        <f>IFERROR(VLOOKUP(A245,[1]Hoja1!$A$2:$J$68,10,FALSE), " - ")</f>
        <v xml:space="preserve"> - </v>
      </c>
    </row>
    <row r="246" spans="1:14" x14ac:dyDescent="0.3">
      <c r="A246" s="2">
        <v>36176</v>
      </c>
      <c r="B246" s="2" t="s">
        <v>12</v>
      </c>
      <c r="C246" s="3" t="s">
        <v>63</v>
      </c>
      <c r="D246" s="2" t="s">
        <v>26</v>
      </c>
      <c r="E246" s="12">
        <v>46188</v>
      </c>
      <c r="F246" s="2" t="s">
        <v>27</v>
      </c>
      <c r="G246" s="3" t="s">
        <v>826</v>
      </c>
      <c r="H246" s="3" t="s">
        <v>537</v>
      </c>
      <c r="I246" s="4" t="s">
        <v>827</v>
      </c>
      <c r="J246" s="2" t="s">
        <v>18</v>
      </c>
      <c r="K246" s="3" t="s">
        <v>35</v>
      </c>
      <c r="L246" s="3" t="s">
        <v>828</v>
      </c>
      <c r="M246" s="15">
        <v>46217</v>
      </c>
      <c r="N246" s="16" t="str">
        <f>IFERROR(VLOOKUP(A246,[1]Hoja1!$A$2:$J$68,10,FALSE), " - ")</f>
        <v xml:space="preserve"> - </v>
      </c>
    </row>
    <row r="247" spans="1:14" x14ac:dyDescent="0.3">
      <c r="A247" s="5">
        <v>35824</v>
      </c>
      <c r="B247" s="5" t="s">
        <v>12</v>
      </c>
      <c r="C247" s="6" t="s">
        <v>13</v>
      </c>
      <c r="D247" s="5" t="s">
        <v>26</v>
      </c>
      <c r="E247" s="13">
        <v>46189</v>
      </c>
      <c r="F247" s="5" t="s">
        <v>27</v>
      </c>
      <c r="G247" s="6" t="s">
        <v>53</v>
      </c>
      <c r="H247" s="6" t="s">
        <v>20</v>
      </c>
      <c r="I247" s="4" t="s">
        <v>54</v>
      </c>
      <c r="J247" s="5" t="s">
        <v>18</v>
      </c>
      <c r="K247" s="6" t="s">
        <v>55</v>
      </c>
      <c r="L247" s="6" t="s">
        <v>56</v>
      </c>
      <c r="M247" s="15">
        <v>46217</v>
      </c>
      <c r="N247" s="16" t="str">
        <f>IFERROR(VLOOKUP(A247,[1]Hoja1!$A$2:$J$68,10,FALSE), " - ")</f>
        <v xml:space="preserve"> - </v>
      </c>
    </row>
    <row r="248" spans="1:14" x14ac:dyDescent="0.3">
      <c r="A248" s="2">
        <v>35824</v>
      </c>
      <c r="B248" s="2" t="s">
        <v>12</v>
      </c>
      <c r="C248" s="3" t="s">
        <v>13</v>
      </c>
      <c r="D248" s="2" t="s">
        <v>26</v>
      </c>
      <c r="E248" s="12">
        <v>46189</v>
      </c>
      <c r="F248" s="2" t="s">
        <v>27</v>
      </c>
      <c r="G248" s="3" t="s">
        <v>53</v>
      </c>
      <c r="H248" s="3" t="s">
        <v>20</v>
      </c>
      <c r="I248" s="4" t="s">
        <v>609</v>
      </c>
      <c r="J248" s="2" t="s">
        <v>18</v>
      </c>
      <c r="K248" s="3" t="s">
        <v>107</v>
      </c>
      <c r="L248" s="3" t="s">
        <v>56</v>
      </c>
      <c r="M248" s="15">
        <v>46217</v>
      </c>
      <c r="N248" s="16" t="str">
        <f>IFERROR(VLOOKUP(A248,[1]Hoja1!$A$2:$J$68,10,FALSE), " - ")</f>
        <v xml:space="preserve"> - </v>
      </c>
    </row>
    <row r="249" spans="1:14" x14ac:dyDescent="0.3">
      <c r="A249" s="5">
        <v>35826</v>
      </c>
      <c r="B249" s="5" t="s">
        <v>12</v>
      </c>
      <c r="C249" s="6" t="s">
        <v>13</v>
      </c>
      <c r="D249" s="5" t="s">
        <v>14</v>
      </c>
      <c r="E249" s="13">
        <v>46189</v>
      </c>
      <c r="F249" s="5" t="s">
        <v>15</v>
      </c>
      <c r="G249" s="6" t="s">
        <v>195</v>
      </c>
      <c r="H249" s="6" t="s">
        <v>196</v>
      </c>
      <c r="I249" s="4" t="s">
        <v>197</v>
      </c>
      <c r="J249" s="5" t="s">
        <v>18</v>
      </c>
      <c r="K249" s="6" t="s">
        <v>198</v>
      </c>
      <c r="L249" s="6" t="s">
        <v>199</v>
      </c>
      <c r="M249" s="15">
        <v>46217</v>
      </c>
      <c r="N249" s="16" t="str">
        <f>IFERROR(VLOOKUP(A249,[1]Hoja1!$A$2:$J$68,10,FALSE), " - ")</f>
        <v xml:space="preserve"> - </v>
      </c>
    </row>
    <row r="250" spans="1:14" x14ac:dyDescent="0.3">
      <c r="A250" s="5">
        <v>35826</v>
      </c>
      <c r="B250" s="5" t="s">
        <v>12</v>
      </c>
      <c r="C250" s="6" t="s">
        <v>13</v>
      </c>
      <c r="D250" s="5" t="s">
        <v>14</v>
      </c>
      <c r="E250" s="13">
        <v>46189</v>
      </c>
      <c r="F250" s="5" t="s">
        <v>15</v>
      </c>
      <c r="G250" s="6" t="s">
        <v>195</v>
      </c>
      <c r="H250" s="6" t="s">
        <v>196</v>
      </c>
      <c r="I250" s="4" t="s">
        <v>647</v>
      </c>
      <c r="J250" s="5" t="s">
        <v>18</v>
      </c>
      <c r="K250" s="6" t="s">
        <v>648</v>
      </c>
      <c r="L250" s="6" t="s">
        <v>199</v>
      </c>
      <c r="M250" s="15">
        <v>46217</v>
      </c>
      <c r="N250" s="16" t="str">
        <f>IFERROR(VLOOKUP(A250,[1]Hoja1!$A$2:$J$68,10,FALSE), " - ")</f>
        <v xml:space="preserve"> - </v>
      </c>
    </row>
    <row r="251" spans="1:14" x14ac:dyDescent="0.3">
      <c r="A251" s="5">
        <v>35826</v>
      </c>
      <c r="B251" s="5" t="s">
        <v>12</v>
      </c>
      <c r="C251" s="6" t="s">
        <v>13</v>
      </c>
      <c r="D251" s="5" t="s">
        <v>14</v>
      </c>
      <c r="E251" s="13">
        <v>46189</v>
      </c>
      <c r="F251" s="11" t="s">
        <v>15</v>
      </c>
      <c r="G251" s="6" t="s">
        <v>195</v>
      </c>
      <c r="H251" s="6" t="s">
        <v>196</v>
      </c>
      <c r="I251" s="4" t="s">
        <v>751</v>
      </c>
      <c r="J251" s="5" t="s">
        <v>18</v>
      </c>
      <c r="K251" s="6" t="s">
        <v>752</v>
      </c>
      <c r="L251" s="6" t="s">
        <v>199</v>
      </c>
      <c r="M251" s="15">
        <v>46217</v>
      </c>
      <c r="N251" s="16" t="str">
        <f>IFERROR(VLOOKUP(A251,[1]Hoja1!$A$2:$J$68,10,FALSE), " - ")</f>
        <v xml:space="preserve"> - </v>
      </c>
    </row>
    <row r="252" spans="1:14" x14ac:dyDescent="0.3">
      <c r="A252" s="5">
        <v>35832</v>
      </c>
      <c r="B252" s="5" t="s">
        <v>12</v>
      </c>
      <c r="C252" s="6" t="s">
        <v>80</v>
      </c>
      <c r="D252" s="5" t="s">
        <v>26</v>
      </c>
      <c r="E252" s="13">
        <v>46189</v>
      </c>
      <c r="F252" s="5" t="s">
        <v>27</v>
      </c>
      <c r="G252" s="6" t="s">
        <v>256</v>
      </c>
      <c r="H252" s="6" t="s">
        <v>72</v>
      </c>
      <c r="I252" s="4" t="s">
        <v>257</v>
      </c>
      <c r="J252" s="5" t="s">
        <v>18</v>
      </c>
      <c r="K252" s="6" t="s">
        <v>258</v>
      </c>
      <c r="L252" s="6" t="s">
        <v>259</v>
      </c>
      <c r="M252" s="15">
        <v>46217</v>
      </c>
      <c r="N252" s="16" t="str">
        <f>IFERROR(VLOOKUP(A252,[1]Hoja1!$A$2:$J$68,10,FALSE), " - ")</f>
        <v xml:space="preserve"> - </v>
      </c>
    </row>
    <row r="253" spans="1:14" x14ac:dyDescent="0.3">
      <c r="A253" s="2">
        <v>35909</v>
      </c>
      <c r="B253" s="2" t="s">
        <v>33</v>
      </c>
      <c r="C253" s="3" t="s">
        <v>80</v>
      </c>
      <c r="D253" s="2" t="s">
        <v>26</v>
      </c>
      <c r="E253" s="12">
        <v>46189</v>
      </c>
      <c r="F253" s="2" t="s">
        <v>27</v>
      </c>
      <c r="G253" s="3" t="s">
        <v>722</v>
      </c>
      <c r="H253" s="3" t="s">
        <v>20</v>
      </c>
      <c r="I253" s="4" t="s">
        <v>138</v>
      </c>
      <c r="J253" s="2" t="s">
        <v>18</v>
      </c>
      <c r="K253" s="3" t="s">
        <v>139</v>
      </c>
      <c r="L253" s="3" t="s">
        <v>255</v>
      </c>
      <c r="M253" s="15">
        <v>46217</v>
      </c>
      <c r="N253" s="16" t="str">
        <f>IFERROR(VLOOKUP(A253,[1]Hoja1!$A$2:$J$68,10,FALSE), " - ")</f>
        <v xml:space="preserve"> - </v>
      </c>
    </row>
    <row r="254" spans="1:14" x14ac:dyDescent="0.3">
      <c r="A254" s="2">
        <v>35914</v>
      </c>
      <c r="B254" s="2" t="s">
        <v>12</v>
      </c>
      <c r="C254" s="3" t="s">
        <v>13</v>
      </c>
      <c r="D254" s="2" t="s">
        <v>26</v>
      </c>
      <c r="E254" s="12">
        <v>46189</v>
      </c>
      <c r="F254" s="2" t="s">
        <v>27</v>
      </c>
      <c r="G254" s="3" t="s">
        <v>133</v>
      </c>
      <c r="H254" s="3" t="s">
        <v>130</v>
      </c>
      <c r="I254" s="4" t="s">
        <v>134</v>
      </c>
      <c r="J254" s="2" t="s">
        <v>18</v>
      </c>
      <c r="K254" s="3" t="s">
        <v>35</v>
      </c>
      <c r="L254" s="3" t="s">
        <v>135</v>
      </c>
      <c r="M254" s="15">
        <v>46217</v>
      </c>
      <c r="N254" s="16" t="str">
        <f>IFERROR(VLOOKUP(A254,[1]Hoja1!$A$2:$J$68,10,FALSE), " - ")</f>
        <v xml:space="preserve"> - </v>
      </c>
    </row>
    <row r="255" spans="1:14" x14ac:dyDescent="0.3">
      <c r="A255" s="5">
        <v>35914</v>
      </c>
      <c r="B255" s="5" t="s">
        <v>12</v>
      </c>
      <c r="C255" s="6" t="s">
        <v>13</v>
      </c>
      <c r="D255" s="5" t="s">
        <v>26</v>
      </c>
      <c r="E255" s="13">
        <v>46189</v>
      </c>
      <c r="F255" s="5" t="s">
        <v>27</v>
      </c>
      <c r="G255" s="6" t="s">
        <v>133</v>
      </c>
      <c r="H255" s="6" t="s">
        <v>130</v>
      </c>
      <c r="I255" s="4" t="s">
        <v>344</v>
      </c>
      <c r="J255" s="5" t="s">
        <v>18</v>
      </c>
      <c r="K255" s="6" t="s">
        <v>345</v>
      </c>
      <c r="L255" s="6" t="s">
        <v>135</v>
      </c>
      <c r="M255" s="15">
        <v>46217</v>
      </c>
      <c r="N255" s="16" t="str">
        <f>IFERROR(VLOOKUP(A255,[1]Hoja1!$A$2:$J$68,10,FALSE), " - ")</f>
        <v xml:space="preserve"> - </v>
      </c>
    </row>
    <row r="256" spans="1:14" x14ac:dyDescent="0.3">
      <c r="A256" s="5">
        <v>35914</v>
      </c>
      <c r="B256" s="5" t="s">
        <v>12</v>
      </c>
      <c r="C256" s="6" t="s">
        <v>13</v>
      </c>
      <c r="D256" s="5" t="s">
        <v>26</v>
      </c>
      <c r="E256" s="13">
        <v>46189</v>
      </c>
      <c r="F256" s="5" t="s">
        <v>27</v>
      </c>
      <c r="G256" s="6" t="s">
        <v>133</v>
      </c>
      <c r="H256" s="6" t="s">
        <v>130</v>
      </c>
      <c r="I256" s="4" t="s">
        <v>673</v>
      </c>
      <c r="J256" s="5" t="s">
        <v>18</v>
      </c>
      <c r="K256" s="6" t="s">
        <v>35</v>
      </c>
      <c r="L256" s="6" t="s">
        <v>135</v>
      </c>
      <c r="M256" s="15">
        <v>46217</v>
      </c>
      <c r="N256" s="16" t="str">
        <f>IFERROR(VLOOKUP(A256,[1]Hoja1!$A$2:$J$68,10,FALSE), " - ")</f>
        <v xml:space="preserve"> - </v>
      </c>
    </row>
    <row r="257" spans="1:14" x14ac:dyDescent="0.3">
      <c r="A257" s="5">
        <v>35914</v>
      </c>
      <c r="B257" s="5" t="s">
        <v>12</v>
      </c>
      <c r="C257" s="6" t="s">
        <v>13</v>
      </c>
      <c r="D257" s="5" t="s">
        <v>26</v>
      </c>
      <c r="E257" s="13">
        <v>46189</v>
      </c>
      <c r="F257" s="5" t="s">
        <v>27</v>
      </c>
      <c r="G257" s="6" t="s">
        <v>133</v>
      </c>
      <c r="H257" s="6" t="s">
        <v>130</v>
      </c>
      <c r="I257" s="4" t="s">
        <v>459</v>
      </c>
      <c r="J257" s="5" t="s">
        <v>18</v>
      </c>
      <c r="K257" s="6" t="s">
        <v>35</v>
      </c>
      <c r="L257" s="6" t="s">
        <v>135</v>
      </c>
      <c r="M257" s="15">
        <v>46217</v>
      </c>
      <c r="N257" s="16" t="str">
        <f>IFERROR(VLOOKUP(A257,[1]Hoja1!$A$2:$J$68,10,FALSE), " - ")</f>
        <v xml:space="preserve"> - </v>
      </c>
    </row>
    <row r="258" spans="1:14" x14ac:dyDescent="0.3">
      <c r="A258" s="2">
        <v>35916</v>
      </c>
      <c r="B258" s="2" t="s">
        <v>62</v>
      </c>
      <c r="C258" s="3" t="s">
        <v>63</v>
      </c>
      <c r="D258" s="2" t="s">
        <v>26</v>
      </c>
      <c r="E258" s="12">
        <v>46189</v>
      </c>
      <c r="F258" s="2" t="s">
        <v>27</v>
      </c>
      <c r="G258" s="3" t="s">
        <v>674</v>
      </c>
      <c r="H258" s="3" t="s">
        <v>675</v>
      </c>
      <c r="I258" s="7" t="s">
        <v>66</v>
      </c>
      <c r="J258" s="2" t="s">
        <v>18</v>
      </c>
      <c r="K258" s="3" t="s">
        <v>31</v>
      </c>
      <c r="L258" s="3" t="s">
        <v>32</v>
      </c>
      <c r="M258" s="15">
        <v>46217</v>
      </c>
      <c r="N258" s="16" t="str">
        <f>IFERROR(VLOOKUP(A258,[1]Hoja1!$A$2:$J$68,10,FALSE), " - ")</f>
        <v xml:space="preserve"> - </v>
      </c>
    </row>
    <row r="259" spans="1:14" x14ac:dyDescent="0.3">
      <c r="A259" s="5">
        <v>35932</v>
      </c>
      <c r="B259" s="5" t="s">
        <v>12</v>
      </c>
      <c r="C259" s="6" t="s">
        <v>13</v>
      </c>
      <c r="D259" s="5" t="s">
        <v>26</v>
      </c>
      <c r="E259" s="13">
        <v>46189</v>
      </c>
      <c r="F259" s="5" t="s">
        <v>27</v>
      </c>
      <c r="G259" s="6" t="s">
        <v>766</v>
      </c>
      <c r="H259" s="6" t="s">
        <v>237</v>
      </c>
      <c r="I259" s="4" t="s">
        <v>671</v>
      </c>
      <c r="J259" s="5" t="s">
        <v>18</v>
      </c>
      <c r="K259" s="6" t="s">
        <v>672</v>
      </c>
      <c r="L259" s="6" t="s">
        <v>767</v>
      </c>
      <c r="M259" s="15">
        <v>46217</v>
      </c>
      <c r="N259" s="16" t="str">
        <f>IFERROR(VLOOKUP(A259,[1]Hoja1!$A$2:$J$68,10,FALSE), " - ")</f>
        <v xml:space="preserve"> - </v>
      </c>
    </row>
    <row r="260" spans="1:14" x14ac:dyDescent="0.3">
      <c r="A260" s="5">
        <v>35934</v>
      </c>
      <c r="B260" s="5" t="s">
        <v>12</v>
      </c>
      <c r="C260" s="6" t="s">
        <v>13</v>
      </c>
      <c r="D260" s="5" t="s">
        <v>26</v>
      </c>
      <c r="E260" s="13">
        <v>46189</v>
      </c>
      <c r="F260" s="9"/>
      <c r="G260" s="6" t="s">
        <v>252</v>
      </c>
      <c r="H260" s="6" t="s">
        <v>253</v>
      </c>
      <c r="I260" s="7" t="s">
        <v>254</v>
      </c>
      <c r="J260" s="5" t="s">
        <v>18</v>
      </c>
      <c r="K260" s="6" t="s">
        <v>31</v>
      </c>
      <c r="L260" s="6" t="s">
        <v>32</v>
      </c>
      <c r="M260" s="15">
        <v>46217</v>
      </c>
      <c r="N260" s="16" t="str">
        <f>IFERROR(VLOOKUP(A260,[1]Hoja1!$A$2:$J$68,10,FALSE), " - ")</f>
        <v xml:space="preserve"> - </v>
      </c>
    </row>
    <row r="261" spans="1:14" x14ac:dyDescent="0.3">
      <c r="A261" s="2">
        <v>35935</v>
      </c>
      <c r="B261" s="2" t="s">
        <v>62</v>
      </c>
      <c r="C261" s="3" t="s">
        <v>13</v>
      </c>
      <c r="D261" s="2" t="s">
        <v>26</v>
      </c>
      <c r="E261" s="12">
        <v>46189</v>
      </c>
      <c r="F261" s="2" t="s">
        <v>27</v>
      </c>
      <c r="G261" s="3" t="s">
        <v>627</v>
      </c>
      <c r="H261" s="3" t="s">
        <v>177</v>
      </c>
      <c r="I261" s="7" t="s">
        <v>628</v>
      </c>
      <c r="J261" s="2" t="s">
        <v>18</v>
      </c>
      <c r="K261" s="3" t="s">
        <v>31</v>
      </c>
      <c r="L261" s="3" t="s">
        <v>32</v>
      </c>
      <c r="M261" s="15">
        <v>46217</v>
      </c>
      <c r="N261" s="16" t="str">
        <f>IFERROR(VLOOKUP(A261,[1]Hoja1!$A$2:$J$68,10,FALSE), " - ")</f>
        <v xml:space="preserve"> - </v>
      </c>
    </row>
    <row r="262" spans="1:14" x14ac:dyDescent="0.3">
      <c r="A262" s="2">
        <v>35936</v>
      </c>
      <c r="B262" s="2" t="s">
        <v>62</v>
      </c>
      <c r="C262" s="3" t="s">
        <v>13</v>
      </c>
      <c r="D262" s="2" t="s">
        <v>26</v>
      </c>
      <c r="E262" s="12">
        <v>46189</v>
      </c>
      <c r="F262" s="2" t="s">
        <v>27</v>
      </c>
      <c r="G262" s="3" t="s">
        <v>113</v>
      </c>
      <c r="H262" s="3" t="s">
        <v>114</v>
      </c>
      <c r="I262" s="7" t="s">
        <v>818</v>
      </c>
      <c r="J262" s="2" t="s">
        <v>18</v>
      </c>
      <c r="K262" s="3" t="s">
        <v>31</v>
      </c>
      <c r="L262" s="3" t="s">
        <v>32</v>
      </c>
      <c r="M262" s="15">
        <v>46217</v>
      </c>
      <c r="N262" s="16" t="str">
        <f>IFERROR(VLOOKUP(A262,[1]Hoja1!$A$2:$J$68,10,FALSE), " - ")</f>
        <v xml:space="preserve"> - </v>
      </c>
    </row>
    <row r="263" spans="1:14" x14ac:dyDescent="0.3">
      <c r="A263" s="5">
        <v>35938</v>
      </c>
      <c r="B263" s="5" t="s">
        <v>62</v>
      </c>
      <c r="C263" s="6" t="s">
        <v>13</v>
      </c>
      <c r="D263" s="5" t="s">
        <v>26</v>
      </c>
      <c r="E263" s="13">
        <v>46189</v>
      </c>
      <c r="F263" s="5" t="s">
        <v>27</v>
      </c>
      <c r="G263" s="6" t="s">
        <v>120</v>
      </c>
      <c r="H263" s="6" t="s">
        <v>42</v>
      </c>
      <c r="I263" s="7" t="s">
        <v>121</v>
      </c>
      <c r="J263" s="5" t="s">
        <v>18</v>
      </c>
      <c r="K263" s="6" t="s">
        <v>31</v>
      </c>
      <c r="L263" s="6" t="s">
        <v>32</v>
      </c>
      <c r="M263" s="15">
        <v>46217</v>
      </c>
      <c r="N263" s="16" t="str">
        <f>IFERROR(VLOOKUP(A263,[1]Hoja1!$A$2:$J$68,10,FALSE), " - ")</f>
        <v xml:space="preserve"> - </v>
      </c>
    </row>
    <row r="264" spans="1:14" x14ac:dyDescent="0.3">
      <c r="A264" s="5">
        <v>35938</v>
      </c>
      <c r="B264" s="5" t="s">
        <v>62</v>
      </c>
      <c r="C264" s="6" t="s">
        <v>13</v>
      </c>
      <c r="D264" s="5" t="s">
        <v>26</v>
      </c>
      <c r="E264" s="13">
        <v>46189</v>
      </c>
      <c r="F264" s="11" t="s">
        <v>27</v>
      </c>
      <c r="G264" s="6" t="s">
        <v>120</v>
      </c>
      <c r="H264" s="6" t="s">
        <v>42</v>
      </c>
      <c r="I264" s="7" t="s">
        <v>629</v>
      </c>
      <c r="J264" s="5" t="s">
        <v>18</v>
      </c>
      <c r="K264" s="6" t="s">
        <v>31</v>
      </c>
      <c r="L264" s="6" t="s">
        <v>32</v>
      </c>
      <c r="M264" s="15">
        <v>46217</v>
      </c>
      <c r="N264" s="16" t="str">
        <f>IFERROR(VLOOKUP(A264,[1]Hoja1!$A$2:$J$68,10,FALSE), " - ")</f>
        <v xml:space="preserve"> - </v>
      </c>
    </row>
    <row r="265" spans="1:14" x14ac:dyDescent="0.3">
      <c r="A265" s="2">
        <v>36086</v>
      </c>
      <c r="B265" s="2" t="s">
        <v>12</v>
      </c>
      <c r="C265" s="3" t="s">
        <v>57</v>
      </c>
      <c r="D265" s="2" t="s">
        <v>14</v>
      </c>
      <c r="E265" s="12">
        <v>46189</v>
      </c>
      <c r="F265" s="2" t="s">
        <v>15</v>
      </c>
      <c r="G265" s="3" t="s">
        <v>149</v>
      </c>
      <c r="H265" s="3" t="s">
        <v>91</v>
      </c>
      <c r="I265" s="8" t="s">
        <v>153</v>
      </c>
      <c r="J265" s="2" t="s">
        <v>18</v>
      </c>
      <c r="K265" s="3" t="s">
        <v>69</v>
      </c>
      <c r="L265" s="3" t="s">
        <v>538</v>
      </c>
      <c r="M265" s="15">
        <v>46217</v>
      </c>
      <c r="N265" s="16" t="str">
        <f>IFERROR(VLOOKUP(A265,[1]Hoja1!$A$2:$J$68,10,FALSE), " - ")</f>
        <v xml:space="preserve"> - </v>
      </c>
    </row>
    <row r="266" spans="1:14" x14ac:dyDescent="0.3">
      <c r="A266" s="2">
        <v>36179</v>
      </c>
      <c r="B266" s="2" t="s">
        <v>12</v>
      </c>
      <c r="C266" s="3" t="s">
        <v>63</v>
      </c>
      <c r="D266" s="2" t="s">
        <v>26</v>
      </c>
      <c r="E266" s="12">
        <v>46189</v>
      </c>
      <c r="F266" s="2" t="s">
        <v>27</v>
      </c>
      <c r="G266" s="3" t="s">
        <v>354</v>
      </c>
      <c r="H266" s="3" t="s">
        <v>355</v>
      </c>
      <c r="I266" s="4" t="s">
        <v>356</v>
      </c>
      <c r="J266" s="2" t="s">
        <v>18</v>
      </c>
      <c r="K266" s="3" t="s">
        <v>207</v>
      </c>
      <c r="L266" s="3" t="s">
        <v>357</v>
      </c>
      <c r="M266" s="15">
        <v>46217</v>
      </c>
      <c r="N266" s="16" t="str">
        <f>IFERROR(VLOOKUP(A266,[1]Hoja1!$A$2:$J$68,10,FALSE), " - ")</f>
        <v xml:space="preserve"> - </v>
      </c>
    </row>
    <row r="267" spans="1:14" x14ac:dyDescent="0.3">
      <c r="A267" s="5">
        <v>36179</v>
      </c>
      <c r="B267" s="5" t="s">
        <v>12</v>
      </c>
      <c r="C267" s="6" t="s">
        <v>63</v>
      </c>
      <c r="D267" s="5" t="s">
        <v>26</v>
      </c>
      <c r="E267" s="13">
        <v>46189</v>
      </c>
      <c r="F267" s="5" t="s">
        <v>27</v>
      </c>
      <c r="G267" s="6" t="s">
        <v>354</v>
      </c>
      <c r="H267" s="6" t="s">
        <v>355</v>
      </c>
      <c r="I267" s="4" t="s">
        <v>517</v>
      </c>
      <c r="J267" s="5" t="s">
        <v>18</v>
      </c>
      <c r="K267" s="6" t="s">
        <v>51</v>
      </c>
      <c r="L267" s="6" t="s">
        <v>357</v>
      </c>
      <c r="M267" s="15">
        <v>46217</v>
      </c>
      <c r="N267" s="16" t="str">
        <f>IFERROR(VLOOKUP(A267,[1]Hoja1!$A$2:$J$68,10,FALSE), " - ")</f>
        <v xml:space="preserve"> - </v>
      </c>
    </row>
    <row r="268" spans="1:14" x14ac:dyDescent="0.3">
      <c r="A268" s="5">
        <v>36235</v>
      </c>
      <c r="B268" s="5" t="s">
        <v>62</v>
      </c>
      <c r="C268" s="6" t="s">
        <v>13</v>
      </c>
      <c r="D268" s="5" t="s">
        <v>26</v>
      </c>
      <c r="E268" s="13">
        <v>46189</v>
      </c>
      <c r="F268" s="5" t="s">
        <v>27</v>
      </c>
      <c r="G268" s="6" t="s">
        <v>116</v>
      </c>
      <c r="H268" s="6" t="s">
        <v>117</v>
      </c>
      <c r="I268" s="7" t="s">
        <v>629</v>
      </c>
      <c r="J268" s="5" t="s">
        <v>18</v>
      </c>
      <c r="K268" s="6" t="s">
        <v>31</v>
      </c>
      <c r="L268" s="6" t="s">
        <v>32</v>
      </c>
      <c r="M268" s="15">
        <v>46217</v>
      </c>
      <c r="N268" s="16" t="str">
        <f>IFERROR(VLOOKUP(A268,[1]Hoja1!$A$2:$J$68,10,FALSE), " - ")</f>
        <v xml:space="preserve"> - </v>
      </c>
    </row>
    <row r="269" spans="1:14" x14ac:dyDescent="0.3">
      <c r="A269" s="2">
        <v>36235</v>
      </c>
      <c r="B269" s="2" t="s">
        <v>62</v>
      </c>
      <c r="C269" s="3" t="s">
        <v>13</v>
      </c>
      <c r="D269" s="2" t="s">
        <v>26</v>
      </c>
      <c r="E269" s="12">
        <v>46189</v>
      </c>
      <c r="F269" s="2" t="s">
        <v>27</v>
      </c>
      <c r="G269" s="3" t="s">
        <v>116</v>
      </c>
      <c r="H269" s="3" t="s">
        <v>117</v>
      </c>
      <c r="I269" s="7" t="s">
        <v>830</v>
      </c>
      <c r="J269" s="2" t="s">
        <v>18</v>
      </c>
      <c r="K269" s="3" t="s">
        <v>31</v>
      </c>
      <c r="L269" s="3" t="s">
        <v>32</v>
      </c>
      <c r="M269" s="15">
        <v>46217</v>
      </c>
      <c r="N269" s="16" t="str">
        <f>IFERROR(VLOOKUP(A269,[1]Hoja1!$A$2:$J$68,10,FALSE), " - ")</f>
        <v xml:space="preserve"> - </v>
      </c>
    </row>
    <row r="270" spans="1:14" x14ac:dyDescent="0.3">
      <c r="A270" s="2">
        <v>36400</v>
      </c>
      <c r="B270" s="2" t="s">
        <v>12</v>
      </c>
      <c r="C270" s="3" t="s">
        <v>57</v>
      </c>
      <c r="D270" s="2" t="s">
        <v>14</v>
      </c>
      <c r="E270" s="12">
        <v>46189</v>
      </c>
      <c r="F270" s="2" t="s">
        <v>15</v>
      </c>
      <c r="G270" s="3" t="s">
        <v>692</v>
      </c>
      <c r="H270" s="3" t="s">
        <v>17</v>
      </c>
      <c r="I270" s="4" t="s">
        <v>153</v>
      </c>
      <c r="J270" s="2" t="s">
        <v>18</v>
      </c>
      <c r="K270" s="3" t="s">
        <v>35</v>
      </c>
      <c r="L270" s="3" t="s">
        <v>693</v>
      </c>
      <c r="M270" s="15">
        <v>46217</v>
      </c>
      <c r="N270" s="16" t="str">
        <f>IFERROR(VLOOKUP(A270,[1]Hoja1!$A$2:$J$68,10,FALSE), " - ")</f>
        <v xml:space="preserve"> - </v>
      </c>
    </row>
    <row r="271" spans="1:14" x14ac:dyDescent="0.3">
      <c r="A271" s="5">
        <v>36401</v>
      </c>
      <c r="B271" s="5" t="s">
        <v>12</v>
      </c>
      <c r="C271" s="6" t="s">
        <v>57</v>
      </c>
      <c r="D271" s="5" t="s">
        <v>14</v>
      </c>
      <c r="E271" s="13">
        <v>46189</v>
      </c>
      <c r="F271" s="5" t="s">
        <v>15</v>
      </c>
      <c r="G271" s="6" t="s">
        <v>694</v>
      </c>
      <c r="H271" s="6" t="s">
        <v>17</v>
      </c>
      <c r="I271" s="8" t="s">
        <v>695</v>
      </c>
      <c r="J271" s="5" t="s">
        <v>18</v>
      </c>
      <c r="K271" s="6" t="s">
        <v>69</v>
      </c>
      <c r="L271" s="6" t="s">
        <v>70</v>
      </c>
      <c r="M271" s="15">
        <v>46217</v>
      </c>
      <c r="N271" s="16" t="str">
        <f>IFERROR(VLOOKUP(A271,[1]Hoja1!$A$2:$J$68,10,FALSE), " - ")</f>
        <v xml:space="preserve"> - </v>
      </c>
    </row>
    <row r="272" spans="1:14" x14ac:dyDescent="0.3">
      <c r="A272" s="5">
        <v>35940</v>
      </c>
      <c r="B272" s="5" t="s">
        <v>33</v>
      </c>
      <c r="C272" s="6" t="s">
        <v>13</v>
      </c>
      <c r="D272" s="5" t="s">
        <v>26</v>
      </c>
      <c r="E272" s="13">
        <v>46190</v>
      </c>
      <c r="F272" s="5" t="s">
        <v>27</v>
      </c>
      <c r="G272" s="6" t="s">
        <v>53</v>
      </c>
      <c r="H272" s="6" t="s">
        <v>20</v>
      </c>
      <c r="I272" s="4" t="s">
        <v>138</v>
      </c>
      <c r="J272" s="5" t="s">
        <v>18</v>
      </c>
      <c r="K272" s="6" t="s">
        <v>139</v>
      </c>
      <c r="L272" s="6" t="s">
        <v>255</v>
      </c>
      <c r="M272" s="15">
        <v>46217</v>
      </c>
      <c r="N272" s="16" t="str">
        <f>IFERROR(VLOOKUP(A272,[1]Hoja1!$A$2:$J$68,10,FALSE), " - ")</f>
        <v xml:space="preserve"> - </v>
      </c>
    </row>
    <row r="273" spans="1:14" x14ac:dyDescent="0.3">
      <c r="A273" s="5">
        <v>35941</v>
      </c>
      <c r="B273" s="5" t="s">
        <v>33</v>
      </c>
      <c r="C273" s="6" t="s">
        <v>13</v>
      </c>
      <c r="D273" s="5" t="s">
        <v>26</v>
      </c>
      <c r="E273" s="13">
        <v>46190</v>
      </c>
      <c r="F273" s="5" t="s">
        <v>27</v>
      </c>
      <c r="G273" s="6" t="s">
        <v>53</v>
      </c>
      <c r="H273" s="6" t="s">
        <v>20</v>
      </c>
      <c r="I273" s="4" t="s">
        <v>34</v>
      </c>
      <c r="J273" s="5" t="s">
        <v>18</v>
      </c>
      <c r="K273" s="6" t="s">
        <v>35</v>
      </c>
      <c r="L273" s="6" t="s">
        <v>349</v>
      </c>
      <c r="M273" s="15">
        <v>46217</v>
      </c>
      <c r="N273" s="16" t="str">
        <f>IFERROR(VLOOKUP(A273,[1]Hoja1!$A$2:$J$68,10,FALSE), " - ")</f>
        <v xml:space="preserve"> - </v>
      </c>
    </row>
    <row r="274" spans="1:14" x14ac:dyDescent="0.3">
      <c r="A274" s="2">
        <v>35952</v>
      </c>
      <c r="B274" s="2" t="s">
        <v>12</v>
      </c>
      <c r="C274" s="3" t="s">
        <v>13</v>
      </c>
      <c r="D274" s="2" t="s">
        <v>26</v>
      </c>
      <c r="E274" s="12">
        <v>46190</v>
      </c>
      <c r="F274" s="2" t="s">
        <v>27</v>
      </c>
      <c r="G274" s="3" t="s">
        <v>612</v>
      </c>
      <c r="H274" s="3" t="s">
        <v>17</v>
      </c>
      <c r="I274" s="4" t="s">
        <v>216</v>
      </c>
      <c r="J274" s="2" t="s">
        <v>18</v>
      </c>
      <c r="K274" s="3" t="s">
        <v>35</v>
      </c>
      <c r="L274" s="3" t="s">
        <v>613</v>
      </c>
      <c r="M274" s="15">
        <v>46217</v>
      </c>
      <c r="N274" s="16" t="str">
        <f>IFERROR(VLOOKUP(A274,[1]Hoja1!$A$2:$J$68,10,FALSE), " - ")</f>
        <v xml:space="preserve"> - </v>
      </c>
    </row>
    <row r="275" spans="1:14" x14ac:dyDescent="0.3">
      <c r="A275" s="2">
        <v>35952</v>
      </c>
      <c r="B275" s="2" t="s">
        <v>12</v>
      </c>
      <c r="C275" s="3" t="s">
        <v>13</v>
      </c>
      <c r="D275" s="2" t="s">
        <v>26</v>
      </c>
      <c r="E275" s="12">
        <v>46190</v>
      </c>
      <c r="F275" s="2" t="s">
        <v>27</v>
      </c>
      <c r="G275" s="3" t="s">
        <v>612</v>
      </c>
      <c r="H275" s="3" t="s">
        <v>17</v>
      </c>
      <c r="I275" s="4" t="s">
        <v>801</v>
      </c>
      <c r="J275" s="2" t="s">
        <v>18</v>
      </c>
      <c r="K275" s="3" t="s">
        <v>239</v>
      </c>
      <c r="L275" s="3" t="s">
        <v>613</v>
      </c>
      <c r="M275" s="15">
        <v>46217</v>
      </c>
      <c r="N275" s="16" t="str">
        <f>IFERROR(VLOOKUP(A275,[1]Hoja1!$A$2:$J$68,10,FALSE), " - ")</f>
        <v xml:space="preserve"> - </v>
      </c>
    </row>
    <row r="276" spans="1:14" x14ac:dyDescent="0.3">
      <c r="A276" s="5">
        <v>35952</v>
      </c>
      <c r="B276" s="5" t="s">
        <v>12</v>
      </c>
      <c r="C276" s="6" t="s">
        <v>13</v>
      </c>
      <c r="D276" s="5" t="s">
        <v>26</v>
      </c>
      <c r="E276" s="13">
        <v>46190</v>
      </c>
      <c r="F276" s="5" t="s">
        <v>27</v>
      </c>
      <c r="G276" s="6" t="s">
        <v>612</v>
      </c>
      <c r="H276" s="6" t="s">
        <v>17</v>
      </c>
      <c r="I276" s="4" t="s">
        <v>279</v>
      </c>
      <c r="J276" s="5" t="s">
        <v>18</v>
      </c>
      <c r="K276" s="6" t="s">
        <v>280</v>
      </c>
      <c r="L276" s="6" t="s">
        <v>613</v>
      </c>
      <c r="M276" s="15">
        <v>46217</v>
      </c>
      <c r="N276" s="16" t="str">
        <f>IFERROR(VLOOKUP(A276,[1]Hoja1!$A$2:$J$68,10,FALSE), " - ")</f>
        <v xml:space="preserve"> - </v>
      </c>
    </row>
    <row r="277" spans="1:14" x14ac:dyDescent="0.3">
      <c r="A277" s="2">
        <v>35977</v>
      </c>
      <c r="B277" s="2" t="s">
        <v>33</v>
      </c>
      <c r="C277" s="3" t="s">
        <v>80</v>
      </c>
      <c r="D277" s="2" t="s">
        <v>26</v>
      </c>
      <c r="E277" s="12">
        <v>46190</v>
      </c>
      <c r="F277" s="2" t="s">
        <v>27</v>
      </c>
      <c r="G277" s="3" t="s">
        <v>365</v>
      </c>
      <c r="H277" s="3" t="s">
        <v>366</v>
      </c>
      <c r="I277" s="4" t="s">
        <v>138</v>
      </c>
      <c r="J277" s="2" t="s">
        <v>18</v>
      </c>
      <c r="K277" s="3" t="s">
        <v>139</v>
      </c>
      <c r="L277" s="3" t="s">
        <v>367</v>
      </c>
      <c r="M277" s="15">
        <v>46217</v>
      </c>
      <c r="N277" s="16" t="str">
        <f>IFERROR(VLOOKUP(A277,[1]Hoja1!$A$2:$J$68,10,FALSE), " - ")</f>
        <v xml:space="preserve"> - </v>
      </c>
    </row>
    <row r="278" spans="1:14" x14ac:dyDescent="0.3">
      <c r="A278" s="2">
        <v>35978</v>
      </c>
      <c r="B278" s="2" t="s">
        <v>33</v>
      </c>
      <c r="C278" s="3" t="s">
        <v>80</v>
      </c>
      <c r="D278" s="2" t="s">
        <v>26</v>
      </c>
      <c r="E278" s="12">
        <v>46190</v>
      </c>
      <c r="F278" s="2" t="s">
        <v>27</v>
      </c>
      <c r="G278" s="3" t="s">
        <v>365</v>
      </c>
      <c r="H278" s="3" t="s">
        <v>366</v>
      </c>
      <c r="I278" s="4" t="s">
        <v>34</v>
      </c>
      <c r="J278" s="2" t="s">
        <v>18</v>
      </c>
      <c r="K278" s="3" t="s">
        <v>35</v>
      </c>
      <c r="L278" s="3" t="s">
        <v>594</v>
      </c>
      <c r="M278" s="15">
        <v>46217</v>
      </c>
      <c r="N278" s="16" t="str">
        <f>IFERROR(VLOOKUP(A278,[1]Hoja1!$A$2:$J$68,10,FALSE), " - ")</f>
        <v xml:space="preserve"> - </v>
      </c>
    </row>
    <row r="279" spans="1:14" x14ac:dyDescent="0.3">
      <c r="A279" s="2">
        <v>35980</v>
      </c>
      <c r="B279" s="2" t="s">
        <v>33</v>
      </c>
      <c r="C279" s="3" t="s">
        <v>80</v>
      </c>
      <c r="D279" s="2" t="s">
        <v>26</v>
      </c>
      <c r="E279" s="12">
        <v>46190</v>
      </c>
      <c r="F279" s="2" t="s">
        <v>27</v>
      </c>
      <c r="G279" s="3" t="s">
        <v>365</v>
      </c>
      <c r="H279" s="3" t="s">
        <v>366</v>
      </c>
      <c r="I279" s="4" t="s">
        <v>216</v>
      </c>
      <c r="J279" s="2" t="s">
        <v>18</v>
      </c>
      <c r="K279" s="3" t="s">
        <v>35</v>
      </c>
      <c r="L279" s="3" t="s">
        <v>390</v>
      </c>
      <c r="M279" s="15">
        <v>46217</v>
      </c>
      <c r="N279" s="16" t="str">
        <f>IFERROR(VLOOKUP(A279,[1]Hoja1!$A$2:$J$68,10,FALSE), " - ")</f>
        <v xml:space="preserve"> - </v>
      </c>
    </row>
    <row r="280" spans="1:14" x14ac:dyDescent="0.3">
      <c r="A280" s="5">
        <v>35982</v>
      </c>
      <c r="B280" s="5" t="s">
        <v>12</v>
      </c>
      <c r="C280" s="6" t="s">
        <v>80</v>
      </c>
      <c r="D280" s="5" t="s">
        <v>26</v>
      </c>
      <c r="E280" s="13">
        <v>46190</v>
      </c>
      <c r="F280" s="5" t="s">
        <v>27</v>
      </c>
      <c r="G280" s="6" t="s">
        <v>365</v>
      </c>
      <c r="H280" s="6" t="s">
        <v>366</v>
      </c>
      <c r="I280" s="4" t="s">
        <v>123</v>
      </c>
      <c r="J280" s="5" t="s">
        <v>18</v>
      </c>
      <c r="K280" s="6" t="s">
        <v>35</v>
      </c>
      <c r="L280" s="6" t="s">
        <v>595</v>
      </c>
      <c r="M280" s="15">
        <v>46217</v>
      </c>
      <c r="N280" s="16" t="str">
        <f>IFERROR(VLOOKUP(A280,[1]Hoja1!$A$2:$J$68,10,FALSE), " - ")</f>
        <v xml:space="preserve"> - </v>
      </c>
    </row>
    <row r="281" spans="1:14" x14ac:dyDescent="0.3">
      <c r="A281" s="5">
        <v>35985</v>
      </c>
      <c r="B281" s="5" t="s">
        <v>12</v>
      </c>
      <c r="C281" s="6" t="s">
        <v>13</v>
      </c>
      <c r="D281" s="5" t="s">
        <v>26</v>
      </c>
      <c r="E281" s="13">
        <v>46190</v>
      </c>
      <c r="F281" s="5" t="s">
        <v>27</v>
      </c>
      <c r="G281" s="6" t="s">
        <v>285</v>
      </c>
      <c r="H281" s="6" t="s">
        <v>286</v>
      </c>
      <c r="I281" s="4" t="s">
        <v>287</v>
      </c>
      <c r="J281" s="5" t="s">
        <v>18</v>
      </c>
      <c r="K281" s="6" t="s">
        <v>288</v>
      </c>
      <c r="L281" s="6" t="s">
        <v>289</v>
      </c>
      <c r="M281" s="15">
        <v>46217</v>
      </c>
      <c r="N281" s="16" t="str">
        <f>IFERROR(VLOOKUP(A281,[1]Hoja1!$A$2:$J$68,10,FALSE), " - ")</f>
        <v xml:space="preserve"> - </v>
      </c>
    </row>
    <row r="282" spans="1:14" x14ac:dyDescent="0.3">
      <c r="A282" s="5">
        <v>35985</v>
      </c>
      <c r="B282" s="5" t="s">
        <v>12</v>
      </c>
      <c r="C282" s="6" t="s">
        <v>13</v>
      </c>
      <c r="D282" s="5" t="s">
        <v>26</v>
      </c>
      <c r="E282" s="13">
        <v>46190</v>
      </c>
      <c r="F282" s="5" t="s">
        <v>27</v>
      </c>
      <c r="G282" s="6" t="s">
        <v>285</v>
      </c>
      <c r="H282" s="6" t="s">
        <v>286</v>
      </c>
      <c r="I282" s="4" t="s">
        <v>542</v>
      </c>
      <c r="J282" s="5" t="s">
        <v>18</v>
      </c>
      <c r="K282" s="6" t="s">
        <v>288</v>
      </c>
      <c r="L282" s="6" t="s">
        <v>289</v>
      </c>
      <c r="M282" s="15">
        <v>46217</v>
      </c>
      <c r="N282" s="16" t="str">
        <f>IFERROR(VLOOKUP(A282,[1]Hoja1!$A$2:$J$68,10,FALSE), " - ")</f>
        <v xml:space="preserve"> - </v>
      </c>
    </row>
    <row r="283" spans="1:14" x14ac:dyDescent="0.3">
      <c r="A283" s="5">
        <v>35985</v>
      </c>
      <c r="B283" s="5" t="s">
        <v>12</v>
      </c>
      <c r="C283" s="6" t="s">
        <v>13</v>
      </c>
      <c r="D283" s="5" t="s">
        <v>26</v>
      </c>
      <c r="E283" s="13">
        <v>46190</v>
      </c>
      <c r="F283" s="5" t="s">
        <v>27</v>
      </c>
      <c r="G283" s="6" t="s">
        <v>285</v>
      </c>
      <c r="H283" s="6" t="s">
        <v>286</v>
      </c>
      <c r="I283" s="4" t="s">
        <v>730</v>
      </c>
      <c r="J283" s="5" t="s">
        <v>18</v>
      </c>
      <c r="K283" s="6" t="s">
        <v>731</v>
      </c>
      <c r="L283" s="6" t="s">
        <v>289</v>
      </c>
      <c r="M283" s="15">
        <v>46217</v>
      </c>
      <c r="N283" s="16" t="str">
        <f>IFERROR(VLOOKUP(A283,[1]Hoja1!$A$2:$J$68,10,FALSE), " - ")</f>
        <v xml:space="preserve"> - </v>
      </c>
    </row>
    <row r="284" spans="1:14" x14ac:dyDescent="0.3">
      <c r="A284" s="5">
        <v>35989</v>
      </c>
      <c r="B284" s="5" t="s">
        <v>12</v>
      </c>
      <c r="C284" s="6" t="s">
        <v>13</v>
      </c>
      <c r="D284" s="5" t="s">
        <v>26</v>
      </c>
      <c r="E284" s="13">
        <v>46190</v>
      </c>
      <c r="F284" s="5" t="s">
        <v>27</v>
      </c>
      <c r="G284" s="6" t="s">
        <v>28</v>
      </c>
      <c r="H284" s="6" t="s">
        <v>29</v>
      </c>
      <c r="I284" s="7" t="s">
        <v>30</v>
      </c>
      <c r="J284" s="5" t="s">
        <v>18</v>
      </c>
      <c r="K284" s="6" t="s">
        <v>31</v>
      </c>
      <c r="L284" s="6" t="s">
        <v>32</v>
      </c>
      <c r="M284" s="15">
        <v>46217</v>
      </c>
      <c r="N284" s="16" t="str">
        <f>IFERROR(VLOOKUP(A284,[1]Hoja1!$A$2:$J$68,10,FALSE), " - ")</f>
        <v xml:space="preserve"> - </v>
      </c>
    </row>
    <row r="285" spans="1:14" x14ac:dyDescent="0.3">
      <c r="A285" s="2">
        <v>35990</v>
      </c>
      <c r="B285" s="2" t="s">
        <v>12</v>
      </c>
      <c r="C285" s="3" t="s">
        <v>13</v>
      </c>
      <c r="D285" s="2" t="s">
        <v>26</v>
      </c>
      <c r="E285" s="12">
        <v>46190</v>
      </c>
      <c r="F285" s="2" t="s">
        <v>27</v>
      </c>
      <c r="G285" s="3" t="s">
        <v>524</v>
      </c>
      <c r="H285" s="3" t="s">
        <v>177</v>
      </c>
      <c r="I285" s="4" t="s">
        <v>484</v>
      </c>
      <c r="J285" s="2" t="s">
        <v>18</v>
      </c>
      <c r="K285" s="3" t="s">
        <v>485</v>
      </c>
      <c r="L285" s="3" t="s">
        <v>689</v>
      </c>
      <c r="M285" s="15">
        <v>46217</v>
      </c>
      <c r="N285" s="16" t="str">
        <f>IFERROR(VLOOKUP(A285,[1]Hoja1!$A$2:$J$68,10,FALSE), " - ")</f>
        <v xml:space="preserve"> - </v>
      </c>
    </row>
    <row r="286" spans="1:14" x14ac:dyDescent="0.3">
      <c r="A286" s="5">
        <v>35990</v>
      </c>
      <c r="B286" s="5" t="s">
        <v>12</v>
      </c>
      <c r="C286" s="6" t="s">
        <v>13</v>
      </c>
      <c r="D286" s="5" t="s">
        <v>26</v>
      </c>
      <c r="E286" s="13">
        <v>46190</v>
      </c>
      <c r="F286" s="5" t="s">
        <v>27</v>
      </c>
      <c r="G286" s="6" t="s">
        <v>524</v>
      </c>
      <c r="H286" s="6" t="s">
        <v>177</v>
      </c>
      <c r="I286" s="4" t="s">
        <v>362</v>
      </c>
      <c r="J286" s="5" t="s">
        <v>18</v>
      </c>
      <c r="K286" s="6" t="s">
        <v>35</v>
      </c>
      <c r="L286" s="6" t="s">
        <v>689</v>
      </c>
      <c r="M286" s="15">
        <v>46217</v>
      </c>
      <c r="N286" s="16" t="str">
        <f>IFERROR(VLOOKUP(A286,[1]Hoja1!$A$2:$J$68,10,FALSE), " - ")</f>
        <v xml:space="preserve"> - </v>
      </c>
    </row>
    <row r="287" spans="1:14" x14ac:dyDescent="0.3">
      <c r="A287" s="2">
        <v>35991</v>
      </c>
      <c r="B287" s="2" t="s">
        <v>33</v>
      </c>
      <c r="C287" s="3" t="s">
        <v>13</v>
      </c>
      <c r="D287" s="2" t="s">
        <v>26</v>
      </c>
      <c r="E287" s="12">
        <v>46190</v>
      </c>
      <c r="F287" s="2" t="s">
        <v>27</v>
      </c>
      <c r="G287" s="3" t="s">
        <v>28</v>
      </c>
      <c r="H287" s="3" t="s">
        <v>29</v>
      </c>
      <c r="I287" s="4" t="s">
        <v>138</v>
      </c>
      <c r="J287" s="2" t="s">
        <v>18</v>
      </c>
      <c r="K287" s="3" t="s">
        <v>139</v>
      </c>
      <c r="L287" s="3" t="s">
        <v>140</v>
      </c>
      <c r="M287" s="15">
        <v>46217</v>
      </c>
      <c r="N287" s="16" t="str">
        <f>IFERROR(VLOOKUP(A287,[1]Hoja1!$A$2:$J$68,10,FALSE), " - ")</f>
        <v xml:space="preserve"> - </v>
      </c>
    </row>
    <row r="288" spans="1:14" x14ac:dyDescent="0.3">
      <c r="A288" s="2">
        <v>35992</v>
      </c>
      <c r="B288" s="2" t="s">
        <v>33</v>
      </c>
      <c r="C288" s="3" t="s">
        <v>13</v>
      </c>
      <c r="D288" s="2" t="s">
        <v>26</v>
      </c>
      <c r="E288" s="12">
        <v>46190</v>
      </c>
      <c r="F288" s="2" t="s">
        <v>27</v>
      </c>
      <c r="G288" s="3" t="s">
        <v>28</v>
      </c>
      <c r="H288" s="3" t="s">
        <v>29</v>
      </c>
      <c r="I288" s="4" t="s">
        <v>34</v>
      </c>
      <c r="J288" s="2" t="s">
        <v>18</v>
      </c>
      <c r="K288" s="3" t="s">
        <v>35</v>
      </c>
      <c r="L288" s="3" t="s">
        <v>36</v>
      </c>
      <c r="M288" s="15">
        <v>46217</v>
      </c>
      <c r="N288" s="16" t="str">
        <f>IFERROR(VLOOKUP(A288,[1]Hoja1!$A$2:$J$68,10,FALSE), " - ")</f>
        <v xml:space="preserve"> - </v>
      </c>
    </row>
    <row r="289" spans="1:14" x14ac:dyDescent="0.3">
      <c r="A289" s="5">
        <v>36181</v>
      </c>
      <c r="B289" s="5" t="s">
        <v>33</v>
      </c>
      <c r="C289" s="6" t="s">
        <v>63</v>
      </c>
      <c r="D289" s="5" t="s">
        <v>26</v>
      </c>
      <c r="E289" s="13">
        <v>46190</v>
      </c>
      <c r="F289" s="5" t="s">
        <v>27</v>
      </c>
      <c r="G289" s="6" t="s">
        <v>136</v>
      </c>
      <c r="H289" s="6" t="s">
        <v>137</v>
      </c>
      <c r="I289" s="4" t="s">
        <v>138</v>
      </c>
      <c r="J289" s="5" t="s">
        <v>18</v>
      </c>
      <c r="K289" s="6" t="s">
        <v>139</v>
      </c>
      <c r="L289" s="6" t="s">
        <v>140</v>
      </c>
      <c r="M289" s="15">
        <v>46217</v>
      </c>
      <c r="N289" s="16" t="str">
        <f>IFERROR(VLOOKUP(A289,[1]Hoja1!$A$2:$J$68,10,FALSE), " - ")</f>
        <v xml:space="preserve"> - </v>
      </c>
    </row>
    <row r="290" spans="1:14" x14ac:dyDescent="0.3">
      <c r="A290" s="5">
        <v>36182</v>
      </c>
      <c r="B290" s="5" t="s">
        <v>33</v>
      </c>
      <c r="C290" s="6" t="s">
        <v>63</v>
      </c>
      <c r="D290" s="5" t="s">
        <v>26</v>
      </c>
      <c r="E290" s="13">
        <v>46190</v>
      </c>
      <c r="F290" s="5" t="s">
        <v>27</v>
      </c>
      <c r="G290" s="6" t="s">
        <v>136</v>
      </c>
      <c r="H290" s="6" t="s">
        <v>137</v>
      </c>
      <c r="I290" s="4" t="s">
        <v>34</v>
      </c>
      <c r="J290" s="5" t="s">
        <v>18</v>
      </c>
      <c r="K290" s="6" t="s">
        <v>35</v>
      </c>
      <c r="L290" s="6" t="s">
        <v>358</v>
      </c>
      <c r="M290" s="15">
        <v>46217</v>
      </c>
      <c r="N290" s="16" t="str">
        <f>IFERROR(VLOOKUP(A290,[1]Hoja1!$A$2:$J$68,10,FALSE), " - ")</f>
        <v xml:space="preserve"> - </v>
      </c>
    </row>
    <row r="291" spans="1:14" x14ac:dyDescent="0.3">
      <c r="A291" s="5">
        <v>36289</v>
      </c>
      <c r="B291" s="5" t="s">
        <v>12</v>
      </c>
      <c r="C291" s="6" t="s">
        <v>57</v>
      </c>
      <c r="D291" s="5" t="s">
        <v>14</v>
      </c>
      <c r="E291" s="13">
        <v>46190</v>
      </c>
      <c r="F291" s="5" t="s">
        <v>15</v>
      </c>
      <c r="G291" s="6" t="s">
        <v>285</v>
      </c>
      <c r="H291" s="6" t="s">
        <v>286</v>
      </c>
      <c r="I291" s="4" t="s">
        <v>142</v>
      </c>
      <c r="J291" s="5" t="s">
        <v>18</v>
      </c>
      <c r="K291" s="6" t="s">
        <v>35</v>
      </c>
      <c r="L291" s="6" t="s">
        <v>588</v>
      </c>
      <c r="M291" s="15">
        <v>46217</v>
      </c>
      <c r="N291" s="16" t="str">
        <f>IFERROR(VLOOKUP(A291,[1]Hoja1!$A$2:$J$68,10,FALSE), " - ")</f>
        <v xml:space="preserve"> - </v>
      </c>
    </row>
    <row r="292" spans="1:14" x14ac:dyDescent="0.3">
      <c r="A292" s="5">
        <v>35997</v>
      </c>
      <c r="B292" s="5" t="s">
        <v>104</v>
      </c>
      <c r="C292" s="6" t="s">
        <v>13</v>
      </c>
      <c r="D292" s="5" t="s">
        <v>26</v>
      </c>
      <c r="E292" s="13">
        <v>46191</v>
      </c>
      <c r="F292" s="5" t="s">
        <v>27</v>
      </c>
      <c r="G292" s="6" t="s">
        <v>368</v>
      </c>
      <c r="H292" s="6" t="s">
        <v>189</v>
      </c>
      <c r="I292" s="7" t="s">
        <v>369</v>
      </c>
      <c r="J292" s="5" t="s">
        <v>18</v>
      </c>
      <c r="K292" s="6" t="s">
        <v>31</v>
      </c>
      <c r="L292" s="6" t="s">
        <v>32</v>
      </c>
      <c r="M292" s="15">
        <v>46217</v>
      </c>
      <c r="N292" s="16" t="str">
        <f>IFERROR(VLOOKUP(A292,[1]Hoja1!$A$2:$J$68,10,FALSE), " - ")</f>
        <v xml:space="preserve"> - </v>
      </c>
    </row>
    <row r="293" spans="1:14" x14ac:dyDescent="0.3">
      <c r="A293" s="2">
        <v>35998</v>
      </c>
      <c r="B293" s="2" t="s">
        <v>33</v>
      </c>
      <c r="C293" s="3" t="s">
        <v>13</v>
      </c>
      <c r="D293" s="2" t="s">
        <v>26</v>
      </c>
      <c r="E293" s="12">
        <v>46191</v>
      </c>
      <c r="F293" s="10" t="s">
        <v>27</v>
      </c>
      <c r="G293" s="3" t="s">
        <v>498</v>
      </c>
      <c r="H293" s="3" t="s">
        <v>237</v>
      </c>
      <c r="I293" s="4" t="s">
        <v>138</v>
      </c>
      <c r="J293" s="2" t="s">
        <v>18</v>
      </c>
      <c r="K293" s="3" t="s">
        <v>139</v>
      </c>
      <c r="L293" s="3" t="s">
        <v>255</v>
      </c>
      <c r="M293" s="15">
        <v>46217</v>
      </c>
      <c r="N293" s="16" t="str">
        <f>IFERROR(VLOOKUP(A293,[1]Hoja1!$A$2:$J$68,10,FALSE), " - ")</f>
        <v xml:space="preserve"> - </v>
      </c>
    </row>
    <row r="294" spans="1:14" x14ac:dyDescent="0.3">
      <c r="A294" s="2">
        <v>35999</v>
      </c>
      <c r="B294" s="2" t="s">
        <v>33</v>
      </c>
      <c r="C294" s="3" t="s">
        <v>13</v>
      </c>
      <c r="D294" s="2" t="s">
        <v>26</v>
      </c>
      <c r="E294" s="12">
        <v>46191</v>
      </c>
      <c r="F294" s="2" t="s">
        <v>27</v>
      </c>
      <c r="G294" s="3" t="s">
        <v>498</v>
      </c>
      <c r="H294" s="3" t="s">
        <v>237</v>
      </c>
      <c r="I294" s="4" t="s">
        <v>34</v>
      </c>
      <c r="J294" s="2" t="s">
        <v>18</v>
      </c>
      <c r="K294" s="3" t="s">
        <v>35</v>
      </c>
      <c r="L294" s="3" t="s">
        <v>103</v>
      </c>
      <c r="M294" s="15">
        <v>46217</v>
      </c>
      <c r="N294" s="16" t="str">
        <f>IFERROR(VLOOKUP(A294,[1]Hoja1!$A$2:$J$68,10,FALSE), " - ")</f>
        <v xml:space="preserve"> - </v>
      </c>
    </row>
    <row r="295" spans="1:14" x14ac:dyDescent="0.3">
      <c r="A295" s="5">
        <v>36000</v>
      </c>
      <c r="B295" s="5" t="s">
        <v>33</v>
      </c>
      <c r="C295" s="6" t="s">
        <v>13</v>
      </c>
      <c r="D295" s="5" t="s">
        <v>26</v>
      </c>
      <c r="E295" s="13">
        <v>46191</v>
      </c>
      <c r="F295" s="5" t="s">
        <v>27</v>
      </c>
      <c r="G295" s="6" t="s">
        <v>498</v>
      </c>
      <c r="H295" s="6" t="s">
        <v>237</v>
      </c>
      <c r="I295" s="7" t="s">
        <v>115</v>
      </c>
      <c r="J295" s="5" t="s">
        <v>18</v>
      </c>
      <c r="K295" s="6" t="s">
        <v>31</v>
      </c>
      <c r="L295" s="6" t="s">
        <v>32</v>
      </c>
      <c r="M295" s="15">
        <v>46217</v>
      </c>
      <c r="N295" s="16" t="str">
        <f>IFERROR(VLOOKUP(A295,[1]Hoja1!$A$2:$J$68,10,FALSE), " - ")</f>
        <v xml:space="preserve"> - </v>
      </c>
    </row>
    <row r="296" spans="1:14" x14ac:dyDescent="0.3">
      <c r="A296" s="2">
        <v>36002</v>
      </c>
      <c r="B296" s="2" t="s">
        <v>12</v>
      </c>
      <c r="C296" s="3" t="s">
        <v>13</v>
      </c>
      <c r="D296" s="2" t="s">
        <v>14</v>
      </c>
      <c r="E296" s="12">
        <v>46191</v>
      </c>
      <c r="F296" s="2" t="s">
        <v>15</v>
      </c>
      <c r="G296" s="3" t="s">
        <v>41</v>
      </c>
      <c r="H296" s="3" t="s">
        <v>42</v>
      </c>
      <c r="I296" s="7" t="s">
        <v>461</v>
      </c>
      <c r="J296" s="2" t="s">
        <v>18</v>
      </c>
      <c r="K296" s="3" t="s">
        <v>31</v>
      </c>
      <c r="L296" s="3" t="s">
        <v>32</v>
      </c>
      <c r="M296" s="15">
        <v>46217</v>
      </c>
      <c r="N296" s="16" t="str">
        <f>IFERROR(VLOOKUP(A296,[1]Hoja1!$A$2:$J$68,10,FALSE), " - ")</f>
        <v xml:space="preserve"> - </v>
      </c>
    </row>
    <row r="297" spans="1:14" x14ac:dyDescent="0.3">
      <c r="A297" s="2">
        <v>36004</v>
      </c>
      <c r="B297" s="2" t="s">
        <v>12</v>
      </c>
      <c r="C297" s="3" t="s">
        <v>13</v>
      </c>
      <c r="D297" s="2" t="s">
        <v>26</v>
      </c>
      <c r="E297" s="12">
        <v>46191</v>
      </c>
      <c r="F297" s="2" t="s">
        <v>27</v>
      </c>
      <c r="G297" s="3" t="s">
        <v>102</v>
      </c>
      <c r="H297" s="3" t="s">
        <v>77</v>
      </c>
      <c r="I297" s="4" t="s">
        <v>732</v>
      </c>
      <c r="J297" s="2" t="s">
        <v>18</v>
      </c>
      <c r="K297" s="3" t="s">
        <v>733</v>
      </c>
      <c r="L297" s="3" t="s">
        <v>734</v>
      </c>
      <c r="M297" s="15">
        <v>46217</v>
      </c>
      <c r="N297" s="16" t="str">
        <f>IFERROR(VLOOKUP(A297,[1]Hoja1!$A$2:$J$68,10,FALSE), " - ")</f>
        <v xml:space="preserve"> - </v>
      </c>
    </row>
    <row r="298" spans="1:14" x14ac:dyDescent="0.3">
      <c r="A298" s="5">
        <v>36010</v>
      </c>
      <c r="B298" s="5" t="s">
        <v>12</v>
      </c>
      <c r="C298" s="6" t="s">
        <v>80</v>
      </c>
      <c r="D298" s="5" t="s">
        <v>26</v>
      </c>
      <c r="E298" s="13">
        <v>46191</v>
      </c>
      <c r="F298" s="5" t="s">
        <v>27</v>
      </c>
      <c r="G298" s="6" t="s">
        <v>462</v>
      </c>
      <c r="H298" s="6" t="s">
        <v>463</v>
      </c>
      <c r="I298" s="4" t="s">
        <v>464</v>
      </c>
      <c r="J298" s="5" t="s">
        <v>18</v>
      </c>
      <c r="K298" s="6" t="s">
        <v>465</v>
      </c>
      <c r="L298" s="6" t="s">
        <v>466</v>
      </c>
      <c r="M298" s="15">
        <v>46217</v>
      </c>
      <c r="N298" s="16" t="str">
        <f>IFERROR(VLOOKUP(A298,[1]Hoja1!$A$2:$J$68,10,FALSE), " - ")</f>
        <v xml:space="preserve"> - </v>
      </c>
    </row>
    <row r="299" spans="1:14" x14ac:dyDescent="0.3">
      <c r="A299" s="5">
        <v>36120</v>
      </c>
      <c r="B299" s="5" t="s">
        <v>12</v>
      </c>
      <c r="C299" s="6" t="s">
        <v>13</v>
      </c>
      <c r="D299" s="5" t="s">
        <v>26</v>
      </c>
      <c r="E299" s="13">
        <v>46191</v>
      </c>
      <c r="F299" s="9"/>
      <c r="G299" s="6" t="s">
        <v>252</v>
      </c>
      <c r="H299" s="6" t="s">
        <v>253</v>
      </c>
      <c r="I299" s="7" t="s">
        <v>360</v>
      </c>
      <c r="J299" s="5" t="s">
        <v>18</v>
      </c>
      <c r="K299" s="6" t="s">
        <v>31</v>
      </c>
      <c r="L299" s="6" t="s">
        <v>32</v>
      </c>
      <c r="M299" s="15">
        <v>46217</v>
      </c>
      <c r="N299" s="16" t="str">
        <f>IFERROR(VLOOKUP(A299,[1]Hoja1!$A$2:$J$68,10,FALSE), " - ")</f>
        <v xml:space="preserve"> - </v>
      </c>
    </row>
    <row r="300" spans="1:14" x14ac:dyDescent="0.3">
      <c r="A300" s="2">
        <v>36121</v>
      </c>
      <c r="B300" s="2" t="s">
        <v>12</v>
      </c>
      <c r="C300" s="3" t="s">
        <v>13</v>
      </c>
      <c r="D300" s="2" t="s">
        <v>26</v>
      </c>
      <c r="E300" s="12">
        <v>46191</v>
      </c>
      <c r="F300" s="2" t="s">
        <v>27</v>
      </c>
      <c r="G300" s="3" t="s">
        <v>295</v>
      </c>
      <c r="H300" s="3" t="s">
        <v>29</v>
      </c>
      <c r="I300" s="4" t="s">
        <v>362</v>
      </c>
      <c r="J300" s="2" t="s">
        <v>18</v>
      </c>
      <c r="K300" s="3" t="s">
        <v>35</v>
      </c>
      <c r="L300" s="3" t="s">
        <v>639</v>
      </c>
      <c r="M300" s="15">
        <v>46217</v>
      </c>
      <c r="N300" s="16" t="str">
        <f>IFERROR(VLOOKUP(A300,[1]Hoja1!$A$2:$J$68,10,FALSE), " - ")</f>
        <v xml:space="preserve"> - </v>
      </c>
    </row>
    <row r="301" spans="1:14" x14ac:dyDescent="0.3">
      <c r="A301" s="5">
        <v>36124</v>
      </c>
      <c r="B301" s="5" t="s">
        <v>12</v>
      </c>
      <c r="C301" s="6" t="s">
        <v>13</v>
      </c>
      <c r="D301" s="5" t="s">
        <v>26</v>
      </c>
      <c r="E301" s="13">
        <v>46191</v>
      </c>
      <c r="F301" s="5" t="s">
        <v>27</v>
      </c>
      <c r="G301" s="6" t="s">
        <v>524</v>
      </c>
      <c r="H301" s="6" t="s">
        <v>177</v>
      </c>
      <c r="I301" s="4" t="s">
        <v>604</v>
      </c>
      <c r="J301" s="5" t="s">
        <v>18</v>
      </c>
      <c r="K301" s="6" t="s">
        <v>169</v>
      </c>
      <c r="L301" s="6" t="s">
        <v>724</v>
      </c>
      <c r="M301" s="15">
        <v>46217</v>
      </c>
      <c r="N301" s="16" t="str">
        <f>IFERROR(VLOOKUP(A301,[1]Hoja1!$A$2:$J$68,10,FALSE), " - ")</f>
        <v xml:space="preserve"> - </v>
      </c>
    </row>
    <row r="302" spans="1:14" x14ac:dyDescent="0.3">
      <c r="A302" s="5">
        <v>36126</v>
      </c>
      <c r="B302" s="5" t="s">
        <v>12</v>
      </c>
      <c r="C302" s="6" t="s">
        <v>13</v>
      </c>
      <c r="D302" s="5" t="s">
        <v>26</v>
      </c>
      <c r="E302" s="13">
        <v>46191</v>
      </c>
      <c r="F302" s="5" t="s">
        <v>27</v>
      </c>
      <c r="G302" s="6" t="s">
        <v>328</v>
      </c>
      <c r="H302" s="6" t="s">
        <v>20</v>
      </c>
      <c r="I302" s="4" t="s">
        <v>123</v>
      </c>
      <c r="J302" s="5" t="s">
        <v>18</v>
      </c>
      <c r="K302" s="6" t="s">
        <v>496</v>
      </c>
      <c r="L302" s="6" t="s">
        <v>539</v>
      </c>
      <c r="M302" s="15">
        <v>46217</v>
      </c>
      <c r="N302" s="16" t="str">
        <f>IFERROR(VLOOKUP(A302,[1]Hoja1!$A$2:$J$68,10,FALSE), " - ")</f>
        <v xml:space="preserve"> - </v>
      </c>
    </row>
    <row r="303" spans="1:14" x14ac:dyDescent="0.3">
      <c r="A303" s="5">
        <v>36126</v>
      </c>
      <c r="B303" s="5" t="s">
        <v>12</v>
      </c>
      <c r="C303" s="6" t="s">
        <v>13</v>
      </c>
      <c r="D303" s="5" t="s">
        <v>26</v>
      </c>
      <c r="E303" s="13">
        <v>46191</v>
      </c>
      <c r="F303" s="5" t="s">
        <v>27</v>
      </c>
      <c r="G303" s="6" t="s">
        <v>328</v>
      </c>
      <c r="H303" s="6" t="s">
        <v>20</v>
      </c>
      <c r="I303" s="4" t="s">
        <v>95</v>
      </c>
      <c r="J303" s="5" t="s">
        <v>18</v>
      </c>
      <c r="K303" s="6" t="s">
        <v>35</v>
      </c>
      <c r="L303" s="6" t="s">
        <v>539</v>
      </c>
      <c r="M303" s="15">
        <v>46217</v>
      </c>
      <c r="N303" s="16" t="str">
        <f>IFERROR(VLOOKUP(A303,[1]Hoja1!$A$2:$J$68,10,FALSE), " - ")</f>
        <v xml:space="preserve"> - </v>
      </c>
    </row>
    <row r="304" spans="1:14" x14ac:dyDescent="0.3">
      <c r="A304" s="2">
        <v>36187</v>
      </c>
      <c r="B304" s="2" t="s">
        <v>12</v>
      </c>
      <c r="C304" s="3" t="s">
        <v>63</v>
      </c>
      <c r="D304" s="2" t="s">
        <v>26</v>
      </c>
      <c r="E304" s="12">
        <v>46191</v>
      </c>
      <c r="F304" s="2" t="s">
        <v>27</v>
      </c>
      <c r="G304" s="3" t="s">
        <v>440</v>
      </c>
      <c r="H304" s="3" t="s">
        <v>189</v>
      </c>
      <c r="I304" s="4" t="s">
        <v>83</v>
      </c>
      <c r="J304" s="2" t="s">
        <v>18</v>
      </c>
      <c r="K304" s="3" t="s">
        <v>441</v>
      </c>
      <c r="L304" s="3" t="s">
        <v>442</v>
      </c>
      <c r="M304" s="15">
        <v>46217</v>
      </c>
      <c r="N304" s="16" t="str">
        <f>IFERROR(VLOOKUP(A304,[1]Hoja1!$A$2:$J$68,10,FALSE), " - ")</f>
        <v xml:space="preserve"> - </v>
      </c>
    </row>
    <row r="305" spans="1:14" x14ac:dyDescent="0.3">
      <c r="A305" s="2">
        <v>36188</v>
      </c>
      <c r="B305" s="2" t="s">
        <v>12</v>
      </c>
      <c r="C305" s="3" t="s">
        <v>63</v>
      </c>
      <c r="D305" s="2" t="s">
        <v>26</v>
      </c>
      <c r="E305" s="12">
        <v>46191</v>
      </c>
      <c r="F305" s="2" t="s">
        <v>27</v>
      </c>
      <c r="G305" s="3" t="s">
        <v>141</v>
      </c>
      <c r="H305" s="3" t="s">
        <v>86</v>
      </c>
      <c r="I305" s="4" t="s">
        <v>142</v>
      </c>
      <c r="J305" s="2" t="s">
        <v>18</v>
      </c>
      <c r="K305" s="3" t="s">
        <v>35</v>
      </c>
      <c r="L305" s="3" t="s">
        <v>143</v>
      </c>
      <c r="M305" s="15">
        <v>46217</v>
      </c>
      <c r="N305" s="16" t="str">
        <f>IFERROR(VLOOKUP(A305,[1]Hoja1!$A$2:$J$68,10,FALSE), " - ")</f>
        <v xml:space="preserve"> - </v>
      </c>
    </row>
    <row r="306" spans="1:14" x14ac:dyDescent="0.3">
      <c r="A306" s="2">
        <v>36253</v>
      </c>
      <c r="B306" s="2" t="s">
        <v>518</v>
      </c>
      <c r="C306" s="3" t="s">
        <v>57</v>
      </c>
      <c r="D306" s="2" t="s">
        <v>26</v>
      </c>
      <c r="E306" s="12">
        <v>46191</v>
      </c>
      <c r="F306" s="2" t="s">
        <v>27</v>
      </c>
      <c r="G306" s="3" t="s">
        <v>519</v>
      </c>
      <c r="H306" s="3" t="s">
        <v>38</v>
      </c>
      <c r="I306" s="4" t="s">
        <v>123</v>
      </c>
      <c r="J306" s="2" t="s">
        <v>18</v>
      </c>
      <c r="K306" s="3" t="s">
        <v>35</v>
      </c>
      <c r="L306" s="3" t="s">
        <v>520</v>
      </c>
      <c r="M306" s="15">
        <v>46217</v>
      </c>
      <c r="N306" s="16" t="str">
        <f>IFERROR(VLOOKUP(A306,[1]Hoja1!$A$2:$J$68,10,FALSE), " - ")</f>
        <v xml:space="preserve"> - </v>
      </c>
    </row>
    <row r="307" spans="1:14" x14ac:dyDescent="0.3">
      <c r="A307" s="2">
        <v>36254</v>
      </c>
      <c r="B307" s="2" t="s">
        <v>518</v>
      </c>
      <c r="C307" s="3" t="s">
        <v>57</v>
      </c>
      <c r="D307" s="2" t="s">
        <v>26</v>
      </c>
      <c r="E307" s="12">
        <v>46191</v>
      </c>
      <c r="F307" s="2" t="s">
        <v>27</v>
      </c>
      <c r="G307" s="3" t="s">
        <v>368</v>
      </c>
      <c r="H307" s="3" t="s">
        <v>189</v>
      </c>
      <c r="I307" s="4" t="s">
        <v>604</v>
      </c>
      <c r="J307" s="2" t="s">
        <v>18</v>
      </c>
      <c r="K307" s="3" t="s">
        <v>169</v>
      </c>
      <c r="L307" s="3" t="s">
        <v>777</v>
      </c>
      <c r="M307" s="15">
        <v>46217</v>
      </c>
      <c r="N307" s="16" t="str">
        <f>IFERROR(VLOOKUP(A307,[1]Hoja1!$A$2:$J$68,10,FALSE), " - ")</f>
        <v xml:space="preserve"> - </v>
      </c>
    </row>
    <row r="308" spans="1:14" x14ac:dyDescent="0.3">
      <c r="A308" s="2">
        <v>36131</v>
      </c>
      <c r="B308" s="2" t="s">
        <v>12</v>
      </c>
      <c r="C308" s="3" t="s">
        <v>63</v>
      </c>
      <c r="D308" s="2" t="s">
        <v>26</v>
      </c>
      <c r="E308" s="12">
        <v>46194</v>
      </c>
      <c r="F308" s="2" t="s">
        <v>27</v>
      </c>
      <c r="G308" s="3" t="s">
        <v>370</v>
      </c>
      <c r="H308" s="3" t="s">
        <v>196</v>
      </c>
      <c r="I308" s="4" t="s">
        <v>725</v>
      </c>
      <c r="J308" s="2" t="s">
        <v>18</v>
      </c>
      <c r="K308" s="3" t="s">
        <v>550</v>
      </c>
      <c r="L308" s="3" t="s">
        <v>726</v>
      </c>
      <c r="M308" s="15">
        <v>46217</v>
      </c>
      <c r="N308" s="16" t="str">
        <f>IFERROR(VLOOKUP(A308,[1]Hoja1!$A$2:$J$68,10,FALSE), " - ")</f>
        <v xml:space="preserve"> - </v>
      </c>
    </row>
    <row r="309" spans="1:14" x14ac:dyDescent="0.3">
      <c r="A309" s="2">
        <v>36155</v>
      </c>
      <c r="B309" s="2" t="s">
        <v>12</v>
      </c>
      <c r="C309" s="3" t="s">
        <v>80</v>
      </c>
      <c r="D309" s="2" t="s">
        <v>14</v>
      </c>
      <c r="E309" s="12">
        <v>46194</v>
      </c>
      <c r="F309" s="2" t="s">
        <v>15</v>
      </c>
      <c r="G309" s="3" t="s">
        <v>431</v>
      </c>
      <c r="H309" s="3" t="s">
        <v>137</v>
      </c>
      <c r="I309" s="8" t="s">
        <v>432</v>
      </c>
      <c r="J309" s="2" t="s">
        <v>18</v>
      </c>
      <c r="K309" s="3" t="s">
        <v>69</v>
      </c>
      <c r="L309" s="3" t="s">
        <v>433</v>
      </c>
      <c r="M309" s="15">
        <v>46217</v>
      </c>
      <c r="N309" s="16" t="str">
        <f>IFERROR(VLOOKUP(A309,[1]Hoja1!$A$2:$J$68,10,FALSE), " - ")</f>
        <v xml:space="preserve"> - </v>
      </c>
    </row>
    <row r="310" spans="1:14" x14ac:dyDescent="0.3">
      <c r="A310" s="2">
        <v>36157</v>
      </c>
      <c r="B310" s="2" t="s">
        <v>12</v>
      </c>
      <c r="C310" s="3" t="s">
        <v>13</v>
      </c>
      <c r="D310" s="2" t="s">
        <v>14</v>
      </c>
      <c r="E310" s="12">
        <v>46194</v>
      </c>
      <c r="F310" s="2" t="s">
        <v>15</v>
      </c>
      <c r="G310" s="3" t="s">
        <v>222</v>
      </c>
      <c r="H310" s="3" t="s">
        <v>38</v>
      </c>
      <c r="I310" s="4" t="s">
        <v>263</v>
      </c>
      <c r="J310" s="2" t="s">
        <v>18</v>
      </c>
      <c r="K310" s="3" t="s">
        <v>264</v>
      </c>
      <c r="L310" s="3" t="s">
        <v>265</v>
      </c>
      <c r="M310" s="15">
        <v>46217</v>
      </c>
      <c r="N310" s="16" t="str">
        <f>IFERROR(VLOOKUP(A310,[1]Hoja1!$A$2:$J$68,10,FALSE), " - ")</f>
        <v xml:space="preserve"> - </v>
      </c>
    </row>
    <row r="311" spans="1:14" x14ac:dyDescent="0.3">
      <c r="A311" s="2">
        <v>36157</v>
      </c>
      <c r="B311" s="2" t="s">
        <v>12</v>
      </c>
      <c r="C311" s="3" t="s">
        <v>13</v>
      </c>
      <c r="D311" s="2" t="s">
        <v>14</v>
      </c>
      <c r="E311" s="12">
        <v>46194</v>
      </c>
      <c r="F311" s="2" t="s">
        <v>15</v>
      </c>
      <c r="G311" s="3" t="s">
        <v>222</v>
      </c>
      <c r="H311" s="3" t="s">
        <v>38</v>
      </c>
      <c r="I311" s="4" t="s">
        <v>321</v>
      </c>
      <c r="J311" s="2" t="s">
        <v>18</v>
      </c>
      <c r="K311" s="3" t="s">
        <v>322</v>
      </c>
      <c r="L311" s="3" t="s">
        <v>265</v>
      </c>
      <c r="M311" s="15">
        <v>46217</v>
      </c>
      <c r="N311" s="16" t="str">
        <f>IFERROR(VLOOKUP(A311,[1]Hoja1!$A$2:$J$68,10,FALSE), " - ")</f>
        <v xml:space="preserve"> - </v>
      </c>
    </row>
    <row r="312" spans="1:14" x14ac:dyDescent="0.3">
      <c r="A312" s="5">
        <v>36157</v>
      </c>
      <c r="B312" s="5" t="s">
        <v>12</v>
      </c>
      <c r="C312" s="6" t="s">
        <v>13</v>
      </c>
      <c r="D312" s="5" t="s">
        <v>14</v>
      </c>
      <c r="E312" s="13">
        <v>46194</v>
      </c>
      <c r="F312" s="5" t="s">
        <v>15</v>
      </c>
      <c r="G312" s="6" t="s">
        <v>222</v>
      </c>
      <c r="H312" s="6" t="s">
        <v>38</v>
      </c>
      <c r="I312" s="4" t="s">
        <v>676</v>
      </c>
      <c r="J312" s="5" t="s">
        <v>18</v>
      </c>
      <c r="K312" s="6" t="s">
        <v>677</v>
      </c>
      <c r="L312" s="6" t="s">
        <v>265</v>
      </c>
      <c r="M312" s="15">
        <v>46217</v>
      </c>
      <c r="N312" s="16" t="str">
        <f>IFERROR(VLOOKUP(A312,[1]Hoja1!$A$2:$J$68,10,FALSE), " - ")</f>
        <v xml:space="preserve"> - </v>
      </c>
    </row>
    <row r="313" spans="1:14" x14ac:dyDescent="0.3">
      <c r="A313" s="2">
        <v>36157</v>
      </c>
      <c r="B313" s="2" t="s">
        <v>12</v>
      </c>
      <c r="C313" s="3" t="s">
        <v>13</v>
      </c>
      <c r="D313" s="2" t="s">
        <v>14</v>
      </c>
      <c r="E313" s="12">
        <v>46194</v>
      </c>
      <c r="F313" s="2" t="s">
        <v>15</v>
      </c>
      <c r="G313" s="3" t="s">
        <v>222</v>
      </c>
      <c r="H313" s="3" t="s">
        <v>38</v>
      </c>
      <c r="I313" s="4" t="s">
        <v>772</v>
      </c>
      <c r="J313" s="2" t="s">
        <v>18</v>
      </c>
      <c r="K313" s="3" t="s">
        <v>773</v>
      </c>
      <c r="L313" s="3" t="s">
        <v>265</v>
      </c>
      <c r="M313" s="15">
        <v>46217</v>
      </c>
      <c r="N313" s="16" t="str">
        <f>IFERROR(VLOOKUP(A313,[1]Hoja1!$A$2:$J$68,10,FALSE), " - ")</f>
        <v xml:space="preserve"> - </v>
      </c>
    </row>
    <row r="314" spans="1:14" x14ac:dyDescent="0.3">
      <c r="A314" s="2">
        <v>36159</v>
      </c>
      <c r="B314" s="2" t="s">
        <v>12</v>
      </c>
      <c r="C314" s="3" t="s">
        <v>13</v>
      </c>
      <c r="D314" s="2" t="s">
        <v>26</v>
      </c>
      <c r="E314" s="12">
        <v>46194</v>
      </c>
      <c r="F314" s="2" t="s">
        <v>27</v>
      </c>
      <c r="G314" s="3" t="s">
        <v>271</v>
      </c>
      <c r="H314" s="3" t="s">
        <v>20</v>
      </c>
      <c r="I314" s="4" t="s">
        <v>822</v>
      </c>
      <c r="J314" s="2" t="s">
        <v>18</v>
      </c>
      <c r="K314" s="3" t="s">
        <v>688</v>
      </c>
      <c r="L314" s="3" t="s">
        <v>823</v>
      </c>
      <c r="M314" s="15">
        <v>46217</v>
      </c>
      <c r="N314" s="16" t="str">
        <f>IFERROR(VLOOKUP(A314,[1]Hoja1!$A$2:$J$68,10,FALSE), " - ")</f>
        <v xml:space="preserve"> - </v>
      </c>
    </row>
    <row r="315" spans="1:14" x14ac:dyDescent="0.3">
      <c r="A315" s="5">
        <v>36162</v>
      </c>
      <c r="B315" s="5" t="s">
        <v>33</v>
      </c>
      <c r="C315" s="6" t="s">
        <v>13</v>
      </c>
      <c r="D315" s="5" t="s">
        <v>26</v>
      </c>
      <c r="E315" s="13">
        <v>46194</v>
      </c>
      <c r="F315" s="11" t="s">
        <v>27</v>
      </c>
      <c r="G315" s="6" t="s">
        <v>222</v>
      </c>
      <c r="H315" s="6" t="s">
        <v>38</v>
      </c>
      <c r="I315" s="4" t="s">
        <v>138</v>
      </c>
      <c r="J315" s="5" t="s">
        <v>18</v>
      </c>
      <c r="K315" s="6" t="s">
        <v>139</v>
      </c>
      <c r="L315" s="6" t="s">
        <v>266</v>
      </c>
      <c r="M315" s="15">
        <v>46217</v>
      </c>
      <c r="N315" s="16" t="str">
        <f>IFERROR(VLOOKUP(A315,[1]Hoja1!$A$2:$J$68,10,FALSE), " - ")</f>
        <v xml:space="preserve"> - </v>
      </c>
    </row>
    <row r="316" spans="1:14" x14ac:dyDescent="0.3">
      <c r="A316" s="2">
        <v>36162</v>
      </c>
      <c r="B316" s="2" t="s">
        <v>33</v>
      </c>
      <c r="C316" s="3" t="s">
        <v>13</v>
      </c>
      <c r="D316" s="2" t="s">
        <v>26</v>
      </c>
      <c r="E316" s="12">
        <v>46194</v>
      </c>
      <c r="F316" s="2" t="s">
        <v>27</v>
      </c>
      <c r="G316" s="3" t="s">
        <v>222</v>
      </c>
      <c r="H316" s="3" t="s">
        <v>38</v>
      </c>
      <c r="I316" s="4" t="s">
        <v>138</v>
      </c>
      <c r="J316" s="2" t="s">
        <v>18</v>
      </c>
      <c r="K316" s="3" t="s">
        <v>139</v>
      </c>
      <c r="L316" s="3" t="s">
        <v>266</v>
      </c>
      <c r="M316" s="15">
        <v>46217</v>
      </c>
      <c r="N316" s="16" t="str">
        <f>IFERROR(VLOOKUP(A316,[1]Hoja1!$A$2:$J$68,10,FALSE), " - ")</f>
        <v xml:space="preserve"> - </v>
      </c>
    </row>
    <row r="317" spans="1:14" x14ac:dyDescent="0.3">
      <c r="A317" s="5">
        <v>36163</v>
      </c>
      <c r="B317" s="5" t="s">
        <v>33</v>
      </c>
      <c r="C317" s="6" t="s">
        <v>13</v>
      </c>
      <c r="D317" s="5" t="s">
        <v>26</v>
      </c>
      <c r="E317" s="13">
        <v>46194</v>
      </c>
      <c r="F317" s="5" t="s">
        <v>27</v>
      </c>
      <c r="G317" s="6" t="s">
        <v>222</v>
      </c>
      <c r="H317" s="6" t="s">
        <v>38</v>
      </c>
      <c r="I317" s="4" t="s">
        <v>34</v>
      </c>
      <c r="J317" s="5" t="s">
        <v>18</v>
      </c>
      <c r="K317" s="6" t="s">
        <v>35</v>
      </c>
      <c r="L317" s="6" t="s">
        <v>160</v>
      </c>
      <c r="M317" s="15">
        <v>46217</v>
      </c>
      <c r="N317" s="16" t="str">
        <f>IFERROR(VLOOKUP(A317,[1]Hoja1!$A$2:$J$68,10,FALSE), " - ")</f>
        <v xml:space="preserve"> - </v>
      </c>
    </row>
    <row r="318" spans="1:14" x14ac:dyDescent="0.3">
      <c r="A318" s="5">
        <v>36169</v>
      </c>
      <c r="B318" s="5" t="s">
        <v>12</v>
      </c>
      <c r="C318" s="6" t="s">
        <v>80</v>
      </c>
      <c r="D318" s="5" t="s">
        <v>26</v>
      </c>
      <c r="E318" s="13">
        <v>46194</v>
      </c>
      <c r="F318" s="5" t="s">
        <v>27</v>
      </c>
      <c r="G318" s="6" t="s">
        <v>81</v>
      </c>
      <c r="H318" s="6" t="s">
        <v>82</v>
      </c>
      <c r="I318" s="4" t="s">
        <v>438</v>
      </c>
      <c r="J318" s="5" t="s">
        <v>18</v>
      </c>
      <c r="K318" s="6" t="s">
        <v>292</v>
      </c>
      <c r="L318" s="6" t="s">
        <v>439</v>
      </c>
      <c r="M318" s="15">
        <v>46217</v>
      </c>
      <c r="N318" s="16" t="str">
        <f>IFERROR(VLOOKUP(A318,[1]Hoja1!$A$2:$J$68,10,FALSE), " - ")</f>
        <v xml:space="preserve"> - </v>
      </c>
    </row>
    <row r="319" spans="1:14" x14ac:dyDescent="0.3">
      <c r="A319" s="2">
        <v>36190</v>
      </c>
      <c r="B319" s="2" t="s">
        <v>33</v>
      </c>
      <c r="C319" s="3" t="s">
        <v>63</v>
      </c>
      <c r="D319" s="2" t="s">
        <v>26</v>
      </c>
      <c r="E319" s="12">
        <v>46194</v>
      </c>
      <c r="F319" s="2" t="s">
        <v>27</v>
      </c>
      <c r="G319" s="3" t="s">
        <v>500</v>
      </c>
      <c r="H319" s="3" t="s">
        <v>501</v>
      </c>
      <c r="I319" s="4" t="s">
        <v>34</v>
      </c>
      <c r="J319" s="2" t="s">
        <v>18</v>
      </c>
      <c r="K319" s="3" t="s">
        <v>35</v>
      </c>
      <c r="L319" s="3" t="s">
        <v>678</v>
      </c>
      <c r="M319" s="15">
        <v>46217</v>
      </c>
      <c r="N319" s="16" t="str">
        <f>IFERROR(VLOOKUP(A319,[1]Hoja1!$A$2:$J$68,10,FALSE), " - ")</f>
        <v xml:space="preserve"> - </v>
      </c>
    </row>
    <row r="320" spans="1:14" x14ac:dyDescent="0.3">
      <c r="A320" s="5">
        <v>36191</v>
      </c>
      <c r="B320" s="5" t="s">
        <v>33</v>
      </c>
      <c r="C320" s="6" t="s">
        <v>63</v>
      </c>
      <c r="D320" s="5" t="s">
        <v>26</v>
      </c>
      <c r="E320" s="13">
        <v>46194</v>
      </c>
      <c r="F320" s="5" t="s">
        <v>27</v>
      </c>
      <c r="G320" s="6" t="s">
        <v>500</v>
      </c>
      <c r="H320" s="6" t="s">
        <v>501</v>
      </c>
      <c r="I320" s="4" t="s">
        <v>138</v>
      </c>
      <c r="J320" s="5" t="s">
        <v>18</v>
      </c>
      <c r="K320" s="6" t="s">
        <v>139</v>
      </c>
      <c r="L320" s="6" t="s">
        <v>140</v>
      </c>
      <c r="M320" s="15">
        <v>46217</v>
      </c>
      <c r="N320" s="16" t="str">
        <f>IFERROR(VLOOKUP(A320,[1]Hoja1!$A$2:$J$68,10,FALSE), " - ")</f>
        <v xml:space="preserve"> - </v>
      </c>
    </row>
    <row r="321" spans="1:14" x14ac:dyDescent="0.3">
      <c r="A321" s="2">
        <v>36196</v>
      </c>
      <c r="B321" s="2" t="s">
        <v>12</v>
      </c>
      <c r="C321" s="3" t="s">
        <v>63</v>
      </c>
      <c r="D321" s="2" t="s">
        <v>26</v>
      </c>
      <c r="E321" s="12">
        <v>46194</v>
      </c>
      <c r="F321" s="10" t="s">
        <v>27</v>
      </c>
      <c r="G321" s="3" t="s">
        <v>125</v>
      </c>
      <c r="H321" s="3" t="s">
        <v>65</v>
      </c>
      <c r="I321" s="4" t="s">
        <v>142</v>
      </c>
      <c r="J321" s="2" t="s">
        <v>18</v>
      </c>
      <c r="K321" s="3" t="s">
        <v>35</v>
      </c>
      <c r="L321" s="3" t="s">
        <v>774</v>
      </c>
      <c r="M321" s="15">
        <v>46217</v>
      </c>
      <c r="N321" s="16" t="str">
        <f>IFERROR(VLOOKUP(A321,[1]Hoja1!$A$2:$J$68,10,FALSE), " - ")</f>
        <v xml:space="preserve"> - </v>
      </c>
    </row>
    <row r="322" spans="1:14" x14ac:dyDescent="0.3">
      <c r="A322" s="2">
        <v>36436</v>
      </c>
      <c r="B322" s="2" t="s">
        <v>12</v>
      </c>
      <c r="C322" s="3" t="s">
        <v>57</v>
      </c>
      <c r="D322" s="2" t="s">
        <v>14</v>
      </c>
      <c r="E322" s="12">
        <v>46194</v>
      </c>
      <c r="F322" s="2" t="s">
        <v>15</v>
      </c>
      <c r="G322" s="3" t="s">
        <v>368</v>
      </c>
      <c r="H322" s="3" t="s">
        <v>189</v>
      </c>
      <c r="I322" s="8" t="s">
        <v>307</v>
      </c>
      <c r="J322" s="2" t="s">
        <v>18</v>
      </c>
      <c r="K322" s="3" t="s">
        <v>69</v>
      </c>
      <c r="L322" s="3" t="s">
        <v>70</v>
      </c>
      <c r="M322" s="15">
        <v>46217</v>
      </c>
      <c r="N322" s="16" t="str">
        <f>IFERROR(VLOOKUP(A322,[1]Hoja1!$A$2:$J$68,10,FALSE), " - ")</f>
        <v xml:space="preserve"> - </v>
      </c>
    </row>
    <row r="323" spans="1:14" x14ac:dyDescent="0.3">
      <c r="A323" s="5">
        <v>36166</v>
      </c>
      <c r="B323" s="5" t="s">
        <v>12</v>
      </c>
      <c r="C323" s="6" t="s">
        <v>13</v>
      </c>
      <c r="D323" s="5" t="s">
        <v>26</v>
      </c>
      <c r="E323" s="13">
        <v>46195</v>
      </c>
      <c r="F323" s="5" t="s">
        <v>27</v>
      </c>
      <c r="G323" s="6" t="s">
        <v>434</v>
      </c>
      <c r="H323" s="6" t="s">
        <v>47</v>
      </c>
      <c r="I323" s="4" t="s">
        <v>435</v>
      </c>
      <c r="J323" s="5" t="s">
        <v>18</v>
      </c>
      <c r="K323" s="6" t="s">
        <v>436</v>
      </c>
      <c r="L323" s="6" t="s">
        <v>437</v>
      </c>
      <c r="M323" s="15">
        <v>46217</v>
      </c>
      <c r="N323" s="16" t="str">
        <f>IFERROR(VLOOKUP(A323,[1]Hoja1!$A$2:$J$68,10,FALSE), " - ")</f>
        <v xml:space="preserve"> - </v>
      </c>
    </row>
    <row r="324" spans="1:14" x14ac:dyDescent="0.3">
      <c r="A324" s="2">
        <v>36166</v>
      </c>
      <c r="B324" s="2" t="s">
        <v>12</v>
      </c>
      <c r="C324" s="3" t="s">
        <v>13</v>
      </c>
      <c r="D324" s="2" t="s">
        <v>26</v>
      </c>
      <c r="E324" s="12">
        <v>46195</v>
      </c>
      <c r="F324" s="2" t="s">
        <v>27</v>
      </c>
      <c r="G324" s="3" t="s">
        <v>434</v>
      </c>
      <c r="H324" s="3" t="s">
        <v>47</v>
      </c>
      <c r="I324" s="4" t="s">
        <v>269</v>
      </c>
      <c r="J324" s="2" t="s">
        <v>18</v>
      </c>
      <c r="K324" s="3" t="s">
        <v>107</v>
      </c>
      <c r="L324" s="3" t="s">
        <v>437</v>
      </c>
      <c r="M324" s="15">
        <v>46217</v>
      </c>
      <c r="N324" s="16" t="str">
        <f>IFERROR(VLOOKUP(A324,[1]Hoja1!$A$2:$J$68,10,FALSE), " - ")</f>
        <v xml:space="preserve"> - </v>
      </c>
    </row>
    <row r="325" spans="1:14" x14ac:dyDescent="0.3">
      <c r="A325" s="5">
        <v>36195</v>
      </c>
      <c r="B325" s="5" t="s">
        <v>12</v>
      </c>
      <c r="C325" s="6" t="s">
        <v>13</v>
      </c>
      <c r="D325" s="5" t="s">
        <v>26</v>
      </c>
      <c r="E325" s="13">
        <v>46195</v>
      </c>
      <c r="F325" s="5" t="s">
        <v>27</v>
      </c>
      <c r="G325" s="6" t="s">
        <v>361</v>
      </c>
      <c r="H325" s="6" t="s">
        <v>47</v>
      </c>
      <c r="I325" s="7" t="s">
        <v>443</v>
      </c>
      <c r="J325" s="5" t="s">
        <v>18</v>
      </c>
      <c r="K325" s="6" t="s">
        <v>31</v>
      </c>
      <c r="L325" s="6" t="s">
        <v>32</v>
      </c>
      <c r="M325" s="15">
        <v>46217</v>
      </c>
      <c r="N325" s="16" t="str">
        <f>IFERROR(VLOOKUP(A325,[1]Hoja1!$A$2:$J$68,10,FALSE), " - ")</f>
        <v xml:space="preserve"> - </v>
      </c>
    </row>
    <row r="326" spans="1:14" x14ac:dyDescent="0.3">
      <c r="A326" s="2">
        <v>36208</v>
      </c>
      <c r="B326" s="2" t="s">
        <v>12</v>
      </c>
      <c r="C326" s="3" t="s">
        <v>63</v>
      </c>
      <c r="D326" s="2" t="s">
        <v>26</v>
      </c>
      <c r="E326" s="12">
        <v>46195</v>
      </c>
      <c r="F326" s="2" t="s">
        <v>27</v>
      </c>
      <c r="G326" s="3" t="s">
        <v>245</v>
      </c>
      <c r="H326" s="3" t="s">
        <v>189</v>
      </c>
      <c r="I326" s="4" t="s">
        <v>123</v>
      </c>
      <c r="J326" s="2" t="s">
        <v>18</v>
      </c>
      <c r="K326" s="3" t="s">
        <v>35</v>
      </c>
      <c r="L326" s="3" t="s">
        <v>444</v>
      </c>
      <c r="M326" s="15">
        <v>46217</v>
      </c>
      <c r="N326" s="16" t="str">
        <f>IFERROR(VLOOKUP(A326,[1]Hoja1!$A$2:$J$68,10,FALSE), " - ")</f>
        <v xml:space="preserve"> - </v>
      </c>
    </row>
    <row r="327" spans="1:14" x14ac:dyDescent="0.3">
      <c r="A327" s="2">
        <v>36212</v>
      </c>
      <c r="B327" s="2" t="s">
        <v>33</v>
      </c>
      <c r="C327" s="3" t="s">
        <v>13</v>
      </c>
      <c r="D327" s="2" t="s">
        <v>26</v>
      </c>
      <c r="E327" s="12">
        <v>46195</v>
      </c>
      <c r="F327" s="2" t="s">
        <v>27</v>
      </c>
      <c r="G327" s="3" t="s">
        <v>445</v>
      </c>
      <c r="H327" s="3" t="s">
        <v>177</v>
      </c>
      <c r="I327" s="4" t="s">
        <v>138</v>
      </c>
      <c r="J327" s="2" t="s">
        <v>18</v>
      </c>
      <c r="K327" s="3" t="s">
        <v>139</v>
      </c>
      <c r="L327" s="3" t="s">
        <v>284</v>
      </c>
      <c r="M327" s="15">
        <v>46217</v>
      </c>
      <c r="N327" s="16" t="str">
        <f>IFERROR(VLOOKUP(A327,[1]Hoja1!$A$2:$J$68,10,FALSE), " - ")</f>
        <v xml:space="preserve"> - </v>
      </c>
    </row>
    <row r="328" spans="1:14" x14ac:dyDescent="0.3">
      <c r="A328" s="5">
        <v>36213</v>
      </c>
      <c r="B328" s="5" t="s">
        <v>33</v>
      </c>
      <c r="C328" s="6" t="s">
        <v>13</v>
      </c>
      <c r="D328" s="5" t="s">
        <v>26</v>
      </c>
      <c r="E328" s="13">
        <v>46195</v>
      </c>
      <c r="F328" s="5" t="s">
        <v>27</v>
      </c>
      <c r="G328" s="6" t="s">
        <v>445</v>
      </c>
      <c r="H328" s="6" t="s">
        <v>177</v>
      </c>
      <c r="I328" s="4" t="s">
        <v>34</v>
      </c>
      <c r="J328" s="5" t="s">
        <v>18</v>
      </c>
      <c r="K328" s="6" t="s">
        <v>35</v>
      </c>
      <c r="L328" s="6" t="s">
        <v>446</v>
      </c>
      <c r="M328" s="15">
        <v>46217</v>
      </c>
      <c r="N328" s="16" t="str">
        <f>IFERROR(VLOOKUP(A328,[1]Hoja1!$A$2:$J$68,10,FALSE), " - ")</f>
        <v xml:space="preserve"> - </v>
      </c>
    </row>
    <row r="329" spans="1:14" x14ac:dyDescent="0.3">
      <c r="A329" s="2">
        <v>36216</v>
      </c>
      <c r="B329" s="2" t="s">
        <v>12</v>
      </c>
      <c r="C329" s="3" t="s">
        <v>13</v>
      </c>
      <c r="D329" s="2" t="s">
        <v>26</v>
      </c>
      <c r="E329" s="12">
        <v>46195</v>
      </c>
      <c r="F329" s="2" t="s">
        <v>27</v>
      </c>
      <c r="G329" s="3" t="s">
        <v>267</v>
      </c>
      <c r="H329" s="3" t="s">
        <v>17</v>
      </c>
      <c r="I329" s="4" t="s">
        <v>411</v>
      </c>
      <c r="J329" s="2" t="s">
        <v>18</v>
      </c>
      <c r="K329" s="3" t="s">
        <v>412</v>
      </c>
      <c r="L329" s="3" t="s">
        <v>447</v>
      </c>
      <c r="M329" s="15">
        <v>46217</v>
      </c>
      <c r="N329" s="16" t="str">
        <f>IFERROR(VLOOKUP(A329,[1]Hoja1!$A$2:$J$68,10,FALSE), " - ")</f>
        <v xml:space="preserve"> - </v>
      </c>
    </row>
    <row r="330" spans="1:14" x14ac:dyDescent="0.3">
      <c r="A330" s="5">
        <v>36216</v>
      </c>
      <c r="B330" s="5" t="s">
        <v>12</v>
      </c>
      <c r="C330" s="6" t="s">
        <v>13</v>
      </c>
      <c r="D330" s="5" t="s">
        <v>26</v>
      </c>
      <c r="E330" s="13">
        <v>46195</v>
      </c>
      <c r="F330" s="5" t="s">
        <v>27</v>
      </c>
      <c r="G330" s="6" t="s">
        <v>267</v>
      </c>
      <c r="H330" s="6" t="s">
        <v>17</v>
      </c>
      <c r="I330" s="4" t="s">
        <v>577</v>
      </c>
      <c r="J330" s="5" t="s">
        <v>18</v>
      </c>
      <c r="K330" s="6" t="s">
        <v>35</v>
      </c>
      <c r="L330" s="6" t="s">
        <v>447</v>
      </c>
      <c r="M330" s="15">
        <v>46217</v>
      </c>
      <c r="N330" s="16" t="str">
        <f>IFERROR(VLOOKUP(A330,[1]Hoja1!$A$2:$J$68,10,FALSE), " - ")</f>
        <v xml:space="preserve"> - </v>
      </c>
    </row>
    <row r="331" spans="1:14" x14ac:dyDescent="0.3">
      <c r="A331" s="5">
        <v>36216</v>
      </c>
      <c r="B331" s="5" t="s">
        <v>12</v>
      </c>
      <c r="C331" s="6" t="s">
        <v>13</v>
      </c>
      <c r="D331" s="5" t="s">
        <v>26</v>
      </c>
      <c r="E331" s="13">
        <v>46195</v>
      </c>
      <c r="F331" s="5" t="s">
        <v>27</v>
      </c>
      <c r="G331" s="6" t="s">
        <v>267</v>
      </c>
      <c r="H331" s="6" t="s">
        <v>17</v>
      </c>
      <c r="I331" s="4" t="s">
        <v>829</v>
      </c>
      <c r="J331" s="5" t="s">
        <v>18</v>
      </c>
      <c r="K331" s="6" t="s">
        <v>35</v>
      </c>
      <c r="L331" s="6" t="s">
        <v>447</v>
      </c>
      <c r="M331" s="15">
        <v>46217</v>
      </c>
      <c r="N331" s="16" t="str">
        <f>IFERROR(VLOOKUP(A331,[1]Hoja1!$A$2:$J$68,10,FALSE), " - ")</f>
        <v xml:space="preserve"> - </v>
      </c>
    </row>
    <row r="332" spans="1:14" x14ac:dyDescent="0.3">
      <c r="A332" s="2">
        <v>36217</v>
      </c>
      <c r="B332" s="2" t="s">
        <v>33</v>
      </c>
      <c r="C332" s="3" t="s">
        <v>13</v>
      </c>
      <c r="D332" s="2" t="s">
        <v>26</v>
      </c>
      <c r="E332" s="12">
        <v>46195</v>
      </c>
      <c r="F332" s="2" t="s">
        <v>27</v>
      </c>
      <c r="G332" s="3" t="s">
        <v>267</v>
      </c>
      <c r="H332" s="3" t="s">
        <v>17</v>
      </c>
      <c r="I332" s="4" t="s">
        <v>138</v>
      </c>
      <c r="J332" s="2" t="s">
        <v>18</v>
      </c>
      <c r="K332" s="3" t="s">
        <v>139</v>
      </c>
      <c r="L332" s="3" t="s">
        <v>255</v>
      </c>
      <c r="M332" s="15">
        <v>46217</v>
      </c>
      <c r="N332" s="16" t="str">
        <f>IFERROR(VLOOKUP(A332,[1]Hoja1!$A$2:$J$68,10,FALSE), " - ")</f>
        <v xml:space="preserve"> - </v>
      </c>
    </row>
    <row r="333" spans="1:14" x14ac:dyDescent="0.3">
      <c r="A333" s="5">
        <v>36218</v>
      </c>
      <c r="B333" s="5" t="s">
        <v>33</v>
      </c>
      <c r="C333" s="6" t="s">
        <v>13</v>
      </c>
      <c r="D333" s="5" t="s">
        <v>26</v>
      </c>
      <c r="E333" s="13">
        <v>46195</v>
      </c>
      <c r="F333" s="5" t="s">
        <v>27</v>
      </c>
      <c r="G333" s="6" t="s">
        <v>267</v>
      </c>
      <c r="H333" s="6" t="s">
        <v>17</v>
      </c>
      <c r="I333" s="4" t="s">
        <v>34</v>
      </c>
      <c r="J333" s="5" t="s">
        <v>18</v>
      </c>
      <c r="K333" s="6" t="s">
        <v>35</v>
      </c>
      <c r="L333" s="6" t="s">
        <v>160</v>
      </c>
      <c r="M333" s="15">
        <v>46217</v>
      </c>
      <c r="N333" s="16" t="str">
        <f>IFERROR(VLOOKUP(A333,[1]Hoja1!$A$2:$J$68,10,FALSE), " - ")</f>
        <v xml:space="preserve"> - </v>
      </c>
    </row>
    <row r="334" spans="1:14" x14ac:dyDescent="0.3">
      <c r="A334" s="5">
        <v>36220</v>
      </c>
      <c r="B334" s="5" t="s">
        <v>12</v>
      </c>
      <c r="C334" s="6" t="s">
        <v>13</v>
      </c>
      <c r="D334" s="5" t="s">
        <v>26</v>
      </c>
      <c r="E334" s="13">
        <v>46195</v>
      </c>
      <c r="F334" s="5" t="s">
        <v>27</v>
      </c>
      <c r="G334" s="6" t="s">
        <v>679</v>
      </c>
      <c r="H334" s="6" t="s">
        <v>29</v>
      </c>
      <c r="I334" s="4" t="s">
        <v>680</v>
      </c>
      <c r="J334" s="5" t="s">
        <v>18</v>
      </c>
      <c r="K334" s="6" t="s">
        <v>35</v>
      </c>
      <c r="L334" s="6" t="s">
        <v>681</v>
      </c>
      <c r="M334" s="15">
        <v>46217</v>
      </c>
      <c r="N334" s="16" t="str">
        <f>IFERROR(VLOOKUP(A334,[1]Hoja1!$A$2:$J$68,10,FALSE), " - ")</f>
        <v xml:space="preserve"> - </v>
      </c>
    </row>
    <row r="335" spans="1:14" x14ac:dyDescent="0.3">
      <c r="A335" s="2">
        <v>36221</v>
      </c>
      <c r="B335" s="2" t="s">
        <v>12</v>
      </c>
      <c r="C335" s="3" t="s">
        <v>13</v>
      </c>
      <c r="D335" s="2" t="s">
        <v>26</v>
      </c>
      <c r="E335" s="12">
        <v>46195</v>
      </c>
      <c r="F335" s="2" t="s">
        <v>27</v>
      </c>
      <c r="G335" s="3" t="s">
        <v>448</v>
      </c>
      <c r="H335" s="3" t="s">
        <v>17</v>
      </c>
      <c r="I335" s="4" t="s">
        <v>95</v>
      </c>
      <c r="J335" s="2" t="s">
        <v>18</v>
      </c>
      <c r="K335" s="3" t="s">
        <v>35</v>
      </c>
      <c r="L335" s="3" t="s">
        <v>775</v>
      </c>
      <c r="M335" s="15">
        <v>46217</v>
      </c>
      <c r="N335" s="16" t="str">
        <f>IFERROR(VLOOKUP(A335,[1]Hoja1!$A$2:$J$68,10,FALSE), " - ")</f>
        <v xml:space="preserve"> - </v>
      </c>
    </row>
    <row r="336" spans="1:14" x14ac:dyDescent="0.3">
      <c r="A336" s="5">
        <v>36222</v>
      </c>
      <c r="B336" s="5" t="s">
        <v>33</v>
      </c>
      <c r="C336" s="6" t="s">
        <v>13</v>
      </c>
      <c r="D336" s="5" t="s">
        <v>26</v>
      </c>
      <c r="E336" s="13">
        <v>46195</v>
      </c>
      <c r="F336" s="5" t="s">
        <v>27</v>
      </c>
      <c r="G336" s="6" t="s">
        <v>448</v>
      </c>
      <c r="H336" s="6" t="s">
        <v>17</v>
      </c>
      <c r="I336" s="4" t="s">
        <v>138</v>
      </c>
      <c r="J336" s="5" t="s">
        <v>18</v>
      </c>
      <c r="K336" s="6" t="s">
        <v>139</v>
      </c>
      <c r="L336" s="6" t="s">
        <v>255</v>
      </c>
      <c r="M336" s="15">
        <v>46217</v>
      </c>
      <c r="N336" s="16" t="str">
        <f>IFERROR(VLOOKUP(A336,[1]Hoja1!$A$2:$J$68,10,FALSE), " - ")</f>
        <v xml:space="preserve"> - </v>
      </c>
    </row>
    <row r="337" spans="1:14" x14ac:dyDescent="0.3">
      <c r="A337" s="2">
        <v>36223</v>
      </c>
      <c r="B337" s="2" t="s">
        <v>33</v>
      </c>
      <c r="C337" s="3" t="s">
        <v>13</v>
      </c>
      <c r="D337" s="2" t="s">
        <v>26</v>
      </c>
      <c r="E337" s="12">
        <v>46195</v>
      </c>
      <c r="F337" s="2" t="s">
        <v>27</v>
      </c>
      <c r="G337" s="3" t="s">
        <v>448</v>
      </c>
      <c r="H337" s="3" t="s">
        <v>17</v>
      </c>
      <c r="I337" s="4" t="s">
        <v>34</v>
      </c>
      <c r="J337" s="2" t="s">
        <v>18</v>
      </c>
      <c r="K337" s="3" t="s">
        <v>35</v>
      </c>
      <c r="L337" s="3" t="s">
        <v>36</v>
      </c>
      <c r="M337" s="15">
        <v>46217</v>
      </c>
      <c r="N337" s="16" t="str">
        <f>IFERROR(VLOOKUP(A337,[1]Hoja1!$A$2:$J$68,10,FALSE), " - ")</f>
        <v xml:space="preserve"> - </v>
      </c>
    </row>
    <row r="338" spans="1:14" x14ac:dyDescent="0.3">
      <c r="A338" s="2">
        <v>36508</v>
      </c>
      <c r="B338" s="2" t="s">
        <v>12</v>
      </c>
      <c r="C338" s="3" t="s">
        <v>63</v>
      </c>
      <c r="D338" s="2" t="s">
        <v>26</v>
      </c>
      <c r="E338" s="12">
        <v>46195</v>
      </c>
      <c r="F338" s="2" t="s">
        <v>27</v>
      </c>
      <c r="G338" s="3" t="s">
        <v>701</v>
      </c>
      <c r="H338" s="3" t="s">
        <v>189</v>
      </c>
      <c r="I338" s="4" t="s">
        <v>702</v>
      </c>
      <c r="J338" s="2" t="s">
        <v>18</v>
      </c>
      <c r="K338" s="3" t="s">
        <v>703</v>
      </c>
      <c r="L338" s="3" t="s">
        <v>704</v>
      </c>
      <c r="M338" s="15">
        <v>46217</v>
      </c>
      <c r="N338" s="16" t="str">
        <f>IFERROR(VLOOKUP(A338,[1]Hoja1!$A$2:$J$68,10,FALSE), " - ")</f>
        <v xml:space="preserve"> - </v>
      </c>
    </row>
    <row r="339" spans="1:14" x14ac:dyDescent="0.3">
      <c r="A339" s="5">
        <v>36226</v>
      </c>
      <c r="B339" s="5" t="s">
        <v>12</v>
      </c>
      <c r="C339" s="6" t="s">
        <v>13</v>
      </c>
      <c r="D339" s="5" t="s">
        <v>26</v>
      </c>
      <c r="E339" s="13">
        <v>46196</v>
      </c>
      <c r="F339" s="5" t="s">
        <v>27</v>
      </c>
      <c r="G339" s="6" t="s">
        <v>449</v>
      </c>
      <c r="H339" s="6" t="s">
        <v>117</v>
      </c>
      <c r="I339" s="4" t="s">
        <v>363</v>
      </c>
      <c r="J339" s="5" t="s">
        <v>18</v>
      </c>
      <c r="K339" s="6" t="s">
        <v>44</v>
      </c>
      <c r="L339" s="6" t="s">
        <v>450</v>
      </c>
      <c r="M339" s="15">
        <v>46217</v>
      </c>
      <c r="N339" s="16" t="str">
        <f>IFERROR(VLOOKUP(A339,[1]Hoja1!$A$2:$J$68,10,FALSE), " - ")</f>
        <v xml:space="preserve"> - </v>
      </c>
    </row>
    <row r="340" spans="1:14" x14ac:dyDescent="0.3">
      <c r="A340" s="2">
        <v>36226</v>
      </c>
      <c r="B340" s="2" t="s">
        <v>12</v>
      </c>
      <c r="C340" s="3" t="s">
        <v>13</v>
      </c>
      <c r="D340" s="2" t="s">
        <v>26</v>
      </c>
      <c r="E340" s="12">
        <v>46196</v>
      </c>
      <c r="F340" s="2" t="s">
        <v>27</v>
      </c>
      <c r="G340" s="3" t="s">
        <v>449</v>
      </c>
      <c r="H340" s="3" t="s">
        <v>117</v>
      </c>
      <c r="I340" s="4" t="s">
        <v>43</v>
      </c>
      <c r="J340" s="2" t="s">
        <v>18</v>
      </c>
      <c r="K340" s="3" t="s">
        <v>44</v>
      </c>
      <c r="L340" s="3" t="s">
        <v>450</v>
      </c>
      <c r="M340" s="15">
        <v>46217</v>
      </c>
      <c r="N340" s="16" t="str">
        <f>IFERROR(VLOOKUP(A340,[1]Hoja1!$A$2:$J$68,10,FALSE), " - ")</f>
        <v xml:space="preserve"> - </v>
      </c>
    </row>
    <row r="341" spans="1:14" x14ac:dyDescent="0.3">
      <c r="A341" s="2">
        <v>36233</v>
      </c>
      <c r="B341" s="2" t="s">
        <v>12</v>
      </c>
      <c r="C341" s="3" t="s">
        <v>13</v>
      </c>
      <c r="D341" s="2" t="s">
        <v>26</v>
      </c>
      <c r="E341" s="12">
        <v>46196</v>
      </c>
      <c r="F341" s="2" t="s">
        <v>27</v>
      </c>
      <c r="G341" s="3" t="s">
        <v>268</v>
      </c>
      <c r="H341" s="3" t="s">
        <v>47</v>
      </c>
      <c r="I341" s="4" t="s">
        <v>269</v>
      </c>
      <c r="J341" s="2" t="s">
        <v>18</v>
      </c>
      <c r="K341" s="3" t="s">
        <v>107</v>
      </c>
      <c r="L341" s="3" t="s">
        <v>270</v>
      </c>
      <c r="M341" s="15">
        <v>46217</v>
      </c>
      <c r="N341" s="16" t="str">
        <f>IFERROR(VLOOKUP(A341,[1]Hoja1!$A$2:$J$68,10,FALSE), " - ")</f>
        <v xml:space="preserve"> - </v>
      </c>
    </row>
    <row r="342" spans="1:14" x14ac:dyDescent="0.3">
      <c r="A342" s="2">
        <v>36237</v>
      </c>
      <c r="B342" s="2" t="s">
        <v>33</v>
      </c>
      <c r="C342" s="3" t="s">
        <v>80</v>
      </c>
      <c r="D342" s="2" t="s">
        <v>26</v>
      </c>
      <c r="E342" s="12">
        <v>46196</v>
      </c>
      <c r="F342" s="2" t="s">
        <v>27</v>
      </c>
      <c r="G342" s="3" t="s">
        <v>682</v>
      </c>
      <c r="H342" s="3" t="s">
        <v>341</v>
      </c>
      <c r="I342" s="4" t="s">
        <v>138</v>
      </c>
      <c r="J342" s="2" t="s">
        <v>18</v>
      </c>
      <c r="K342" s="3" t="s">
        <v>139</v>
      </c>
      <c r="L342" s="3" t="s">
        <v>683</v>
      </c>
      <c r="M342" s="15">
        <v>46217</v>
      </c>
      <c r="N342" s="16" t="str">
        <f>IFERROR(VLOOKUP(A342,[1]Hoja1!$A$2:$J$68,10,FALSE), " - ")</f>
        <v xml:space="preserve"> - </v>
      </c>
    </row>
    <row r="343" spans="1:14" x14ac:dyDescent="0.3">
      <c r="A343" s="5">
        <v>36238</v>
      </c>
      <c r="B343" s="5" t="s">
        <v>33</v>
      </c>
      <c r="C343" s="6" t="s">
        <v>80</v>
      </c>
      <c r="D343" s="5" t="s">
        <v>26</v>
      </c>
      <c r="E343" s="13">
        <v>46196</v>
      </c>
      <c r="F343" s="5" t="s">
        <v>27</v>
      </c>
      <c r="G343" s="6" t="s">
        <v>682</v>
      </c>
      <c r="H343" s="6" t="s">
        <v>341</v>
      </c>
      <c r="I343" s="4" t="s">
        <v>34</v>
      </c>
      <c r="J343" s="5" t="s">
        <v>18</v>
      </c>
      <c r="K343" s="6" t="s">
        <v>35</v>
      </c>
      <c r="L343" s="6" t="s">
        <v>776</v>
      </c>
      <c r="M343" s="15">
        <v>46217</v>
      </c>
      <c r="N343" s="16" t="str">
        <f>IFERROR(VLOOKUP(A343,[1]Hoja1!$A$2:$J$68,10,FALSE), " - ")</f>
        <v xml:space="preserve"> - </v>
      </c>
    </row>
    <row r="344" spans="1:14" x14ac:dyDescent="0.3">
      <c r="A344" s="5">
        <v>36244</v>
      </c>
      <c r="B344" s="5" t="s">
        <v>33</v>
      </c>
      <c r="C344" s="6" t="s">
        <v>13</v>
      </c>
      <c r="D344" s="5" t="s">
        <v>26</v>
      </c>
      <c r="E344" s="13">
        <v>46196</v>
      </c>
      <c r="F344" s="5" t="s">
        <v>27</v>
      </c>
      <c r="G344" s="6" t="s">
        <v>383</v>
      </c>
      <c r="H344" s="6" t="s">
        <v>38</v>
      </c>
      <c r="I344" s="4" t="s">
        <v>138</v>
      </c>
      <c r="J344" s="5" t="s">
        <v>18</v>
      </c>
      <c r="K344" s="6" t="s">
        <v>139</v>
      </c>
      <c r="L344" s="6" t="s">
        <v>140</v>
      </c>
      <c r="M344" s="15">
        <v>46217</v>
      </c>
      <c r="N344" s="16" t="str">
        <f>IFERROR(VLOOKUP(A344,[1]Hoja1!$A$2:$J$68,10,FALSE), " - ")</f>
        <v xml:space="preserve"> - </v>
      </c>
    </row>
    <row r="345" spans="1:14" x14ac:dyDescent="0.3">
      <c r="A345" s="2">
        <v>36245</v>
      </c>
      <c r="B345" s="2" t="s">
        <v>33</v>
      </c>
      <c r="C345" s="3" t="s">
        <v>13</v>
      </c>
      <c r="D345" s="2" t="s">
        <v>26</v>
      </c>
      <c r="E345" s="12">
        <v>46196</v>
      </c>
      <c r="F345" s="2" t="s">
        <v>27</v>
      </c>
      <c r="G345" s="3" t="s">
        <v>383</v>
      </c>
      <c r="H345" s="3" t="s">
        <v>38</v>
      </c>
      <c r="I345" s="4" t="s">
        <v>34</v>
      </c>
      <c r="J345" s="2" t="s">
        <v>18</v>
      </c>
      <c r="K345" s="3" t="s">
        <v>35</v>
      </c>
      <c r="L345" s="3" t="s">
        <v>36</v>
      </c>
      <c r="M345" s="15">
        <v>46217</v>
      </c>
      <c r="N345" s="16" t="str">
        <f>IFERROR(VLOOKUP(A345,[1]Hoja1!$A$2:$J$68,10,FALSE), " - ")</f>
        <v xml:space="preserve"> - </v>
      </c>
    </row>
    <row r="346" spans="1:14" x14ac:dyDescent="0.3">
      <c r="A346" s="5">
        <v>36301</v>
      </c>
      <c r="B346" s="5" t="s">
        <v>12</v>
      </c>
      <c r="C346" s="6" t="s">
        <v>13</v>
      </c>
      <c r="D346" s="5" t="s">
        <v>26</v>
      </c>
      <c r="E346" s="13">
        <v>46196</v>
      </c>
      <c r="F346" s="5" t="s">
        <v>27</v>
      </c>
      <c r="G346" s="6" t="s">
        <v>454</v>
      </c>
      <c r="H346" s="6" t="s">
        <v>65</v>
      </c>
      <c r="I346" s="7" t="s">
        <v>455</v>
      </c>
      <c r="J346" s="5" t="s">
        <v>18</v>
      </c>
      <c r="K346" s="6" t="s">
        <v>31</v>
      </c>
      <c r="L346" s="6" t="s">
        <v>32</v>
      </c>
      <c r="M346" s="15">
        <v>46217</v>
      </c>
      <c r="N346" s="16" t="str">
        <f>IFERROR(VLOOKUP(A346,[1]Hoja1!$A$2:$J$68,10,FALSE), " - ")</f>
        <v xml:space="preserve"> - </v>
      </c>
    </row>
    <row r="347" spans="1:14" x14ac:dyDescent="0.3">
      <c r="A347" s="5">
        <v>36513</v>
      </c>
      <c r="B347" s="5" t="s">
        <v>33</v>
      </c>
      <c r="C347" s="6" t="s">
        <v>63</v>
      </c>
      <c r="D347" s="5" t="s">
        <v>26</v>
      </c>
      <c r="E347" s="13">
        <v>46196</v>
      </c>
      <c r="F347" s="5" t="s">
        <v>27</v>
      </c>
      <c r="G347" s="6" t="s">
        <v>862</v>
      </c>
      <c r="H347" s="6" t="s">
        <v>341</v>
      </c>
      <c r="I347" s="4" t="s">
        <v>863</v>
      </c>
      <c r="J347" s="5" t="s">
        <v>18</v>
      </c>
      <c r="K347" s="6" t="s">
        <v>139</v>
      </c>
      <c r="L347" s="6" t="s">
        <v>864</v>
      </c>
      <c r="M347" s="15">
        <v>46217</v>
      </c>
      <c r="N347" s="16" t="str">
        <f>IFERROR(VLOOKUP(A347,[1]Hoja1!$A$2:$J$68,10,FALSE), " - ")</f>
        <v xml:space="preserve"> - </v>
      </c>
    </row>
    <row r="348" spans="1:14" x14ac:dyDescent="0.3">
      <c r="A348" s="2">
        <v>36516</v>
      </c>
      <c r="B348" s="2" t="s">
        <v>33</v>
      </c>
      <c r="C348" s="3" t="s">
        <v>63</v>
      </c>
      <c r="D348" s="2" t="s">
        <v>26</v>
      </c>
      <c r="E348" s="12">
        <v>46196</v>
      </c>
      <c r="F348" s="2" t="s">
        <v>27</v>
      </c>
      <c r="G348" s="3" t="s">
        <v>212</v>
      </c>
      <c r="H348" s="3" t="s">
        <v>213</v>
      </c>
      <c r="I348" s="4" t="s">
        <v>138</v>
      </c>
      <c r="J348" s="2" t="s">
        <v>18</v>
      </c>
      <c r="K348" s="3" t="s">
        <v>139</v>
      </c>
      <c r="L348" s="3" t="s">
        <v>865</v>
      </c>
      <c r="M348" s="15">
        <v>46217</v>
      </c>
      <c r="N348" s="16" t="str">
        <f>IFERROR(VLOOKUP(A348,[1]Hoja1!$A$2:$J$68,10,FALSE), " - ")</f>
        <v xml:space="preserve"> - </v>
      </c>
    </row>
    <row r="349" spans="1:14" x14ac:dyDescent="0.3">
      <c r="A349" s="5">
        <v>36517</v>
      </c>
      <c r="B349" s="5" t="s">
        <v>33</v>
      </c>
      <c r="C349" s="6" t="s">
        <v>63</v>
      </c>
      <c r="D349" s="5" t="s">
        <v>26</v>
      </c>
      <c r="E349" s="13">
        <v>46196</v>
      </c>
      <c r="F349" s="5" t="s">
        <v>27</v>
      </c>
      <c r="G349" s="6" t="s">
        <v>212</v>
      </c>
      <c r="H349" s="6" t="s">
        <v>213</v>
      </c>
      <c r="I349" s="4" t="s">
        <v>34</v>
      </c>
      <c r="J349" s="5" t="s">
        <v>18</v>
      </c>
      <c r="K349" s="6" t="s">
        <v>35</v>
      </c>
      <c r="L349" s="6" t="s">
        <v>214</v>
      </c>
      <c r="M349" s="15">
        <v>46217</v>
      </c>
      <c r="N349" s="16" t="str">
        <f>IFERROR(VLOOKUP(A349,[1]Hoja1!$A$2:$J$68,10,FALSE), " - ")</f>
        <v xml:space="preserve"> - </v>
      </c>
    </row>
    <row r="350" spans="1:14" x14ac:dyDescent="0.3">
      <c r="A350" s="2">
        <v>36519</v>
      </c>
      <c r="B350" s="2" t="s">
        <v>12</v>
      </c>
      <c r="C350" s="3" t="s">
        <v>63</v>
      </c>
      <c r="D350" s="2" t="s">
        <v>14</v>
      </c>
      <c r="E350" s="12">
        <v>46196</v>
      </c>
      <c r="F350" s="2" t="s">
        <v>15</v>
      </c>
      <c r="G350" s="3" t="s">
        <v>215</v>
      </c>
      <c r="H350" s="3" t="s">
        <v>38</v>
      </c>
      <c r="I350" s="4" t="s">
        <v>216</v>
      </c>
      <c r="J350" s="2" t="s">
        <v>18</v>
      </c>
      <c r="K350" s="3" t="s">
        <v>35</v>
      </c>
      <c r="L350" s="3" t="s">
        <v>217</v>
      </c>
      <c r="M350" s="15">
        <v>46217</v>
      </c>
      <c r="N350" s="16" t="str">
        <f>IFERROR(VLOOKUP(A350,[1]Hoja1!$A$2:$J$68,10,FALSE), " - ")</f>
        <v xml:space="preserve"> - </v>
      </c>
    </row>
    <row r="351" spans="1:14" x14ac:dyDescent="0.3">
      <c r="A351" s="5">
        <v>36519</v>
      </c>
      <c r="B351" s="5" t="s">
        <v>12</v>
      </c>
      <c r="C351" s="6" t="s">
        <v>63</v>
      </c>
      <c r="D351" s="5" t="s">
        <v>14</v>
      </c>
      <c r="E351" s="13">
        <v>46196</v>
      </c>
      <c r="F351" s="5" t="s">
        <v>15</v>
      </c>
      <c r="G351" s="6" t="s">
        <v>215</v>
      </c>
      <c r="H351" s="6" t="s">
        <v>38</v>
      </c>
      <c r="I351" s="4" t="s">
        <v>654</v>
      </c>
      <c r="J351" s="5" t="s">
        <v>18</v>
      </c>
      <c r="K351" s="6" t="s">
        <v>655</v>
      </c>
      <c r="L351" s="6" t="s">
        <v>217</v>
      </c>
      <c r="M351" s="15">
        <v>46217</v>
      </c>
      <c r="N351" s="16" t="str">
        <f>IFERROR(VLOOKUP(A351,[1]Hoja1!$A$2:$J$68,10,FALSE), " - ")</f>
        <v xml:space="preserve"> - </v>
      </c>
    </row>
    <row r="352" spans="1:14" x14ac:dyDescent="0.3">
      <c r="A352" s="2">
        <v>36520</v>
      </c>
      <c r="B352" s="2" t="s">
        <v>12</v>
      </c>
      <c r="C352" s="3" t="s">
        <v>63</v>
      </c>
      <c r="D352" s="2" t="s">
        <v>26</v>
      </c>
      <c r="E352" s="12">
        <v>46196</v>
      </c>
      <c r="F352" s="2" t="s">
        <v>27</v>
      </c>
      <c r="G352" s="3" t="s">
        <v>396</v>
      </c>
      <c r="H352" s="3" t="s">
        <v>29</v>
      </c>
      <c r="I352" s="4" t="s">
        <v>397</v>
      </c>
      <c r="J352" s="2" t="s">
        <v>18</v>
      </c>
      <c r="K352" s="3" t="s">
        <v>398</v>
      </c>
      <c r="L352" s="3" t="s">
        <v>399</v>
      </c>
      <c r="M352" s="15">
        <v>46217</v>
      </c>
      <c r="N352" s="16" t="str">
        <f>IFERROR(VLOOKUP(A352,[1]Hoja1!$A$2:$J$68,10,FALSE), " - ")</f>
        <v xml:space="preserve"> - </v>
      </c>
    </row>
    <row r="353" spans="1:14" x14ac:dyDescent="0.3">
      <c r="A353" s="5">
        <v>36520</v>
      </c>
      <c r="B353" s="5" t="s">
        <v>12</v>
      </c>
      <c r="C353" s="6" t="s">
        <v>63</v>
      </c>
      <c r="D353" s="5" t="s">
        <v>26</v>
      </c>
      <c r="E353" s="13">
        <v>46196</v>
      </c>
      <c r="F353" s="5" t="s">
        <v>27</v>
      </c>
      <c r="G353" s="6" t="s">
        <v>396</v>
      </c>
      <c r="H353" s="6" t="s">
        <v>29</v>
      </c>
      <c r="I353" s="4" t="s">
        <v>571</v>
      </c>
      <c r="J353" s="5" t="s">
        <v>18</v>
      </c>
      <c r="K353" s="6" t="s">
        <v>35</v>
      </c>
      <c r="L353" s="6" t="s">
        <v>399</v>
      </c>
      <c r="M353" s="15">
        <v>46217</v>
      </c>
      <c r="N353" s="16" t="str">
        <f>IFERROR(VLOOKUP(A353,[1]Hoja1!$A$2:$J$68,10,FALSE), " - ")</f>
        <v xml:space="preserve"> - </v>
      </c>
    </row>
    <row r="354" spans="1:14" x14ac:dyDescent="0.3">
      <c r="A354" s="2">
        <v>36305</v>
      </c>
      <c r="B354" s="2" t="s">
        <v>33</v>
      </c>
      <c r="C354" s="3" t="s">
        <v>80</v>
      </c>
      <c r="D354" s="2" t="s">
        <v>26</v>
      </c>
      <c r="E354" s="12">
        <v>46197</v>
      </c>
      <c r="F354" s="2" t="s">
        <v>27</v>
      </c>
      <c r="G354" s="3" t="s">
        <v>526</v>
      </c>
      <c r="H354" s="3" t="s">
        <v>196</v>
      </c>
      <c r="I354" s="4" t="s">
        <v>138</v>
      </c>
      <c r="J354" s="2" t="s">
        <v>18</v>
      </c>
      <c r="K354" s="3" t="s">
        <v>139</v>
      </c>
      <c r="L354" s="3" t="s">
        <v>670</v>
      </c>
      <c r="M354" s="15">
        <v>46217</v>
      </c>
      <c r="N354" s="16" t="str">
        <f>IFERROR(VLOOKUP(A354,[1]Hoja1!$A$2:$J$68,10,FALSE), " - ")</f>
        <v xml:space="preserve"> - </v>
      </c>
    </row>
    <row r="355" spans="1:14" x14ac:dyDescent="0.3">
      <c r="A355" s="2">
        <v>36306</v>
      </c>
      <c r="B355" s="2" t="s">
        <v>33</v>
      </c>
      <c r="C355" s="3" t="s">
        <v>80</v>
      </c>
      <c r="D355" s="2" t="s">
        <v>26</v>
      </c>
      <c r="E355" s="12">
        <v>46197</v>
      </c>
      <c r="F355" s="2" t="s">
        <v>27</v>
      </c>
      <c r="G355" s="3" t="s">
        <v>526</v>
      </c>
      <c r="H355" s="3" t="s">
        <v>196</v>
      </c>
      <c r="I355" s="4" t="s">
        <v>34</v>
      </c>
      <c r="J355" s="2" t="s">
        <v>18</v>
      </c>
      <c r="K355" s="3" t="s">
        <v>35</v>
      </c>
      <c r="L355" s="3" t="s">
        <v>421</v>
      </c>
      <c r="M355" s="15">
        <v>46217</v>
      </c>
      <c r="N355" s="16" t="str">
        <f>IFERROR(VLOOKUP(A355,[1]Hoja1!$A$2:$J$68,10,FALSE), " - ")</f>
        <v xml:space="preserve"> - </v>
      </c>
    </row>
    <row r="356" spans="1:14" x14ac:dyDescent="0.3">
      <c r="A356" s="5">
        <v>36310</v>
      </c>
      <c r="B356" s="5" t="s">
        <v>12</v>
      </c>
      <c r="C356" s="6" t="s">
        <v>13</v>
      </c>
      <c r="D356" s="5" t="s">
        <v>14</v>
      </c>
      <c r="E356" s="13">
        <v>46197</v>
      </c>
      <c r="F356" s="5" t="s">
        <v>15</v>
      </c>
      <c r="G356" s="6" t="s">
        <v>149</v>
      </c>
      <c r="H356" s="6" t="s">
        <v>91</v>
      </c>
      <c r="I356" s="4" t="s">
        <v>150</v>
      </c>
      <c r="J356" s="5" t="s">
        <v>18</v>
      </c>
      <c r="K356" s="6" t="s">
        <v>151</v>
      </c>
      <c r="L356" s="6" t="s">
        <v>152</v>
      </c>
      <c r="M356" s="15">
        <v>46217</v>
      </c>
      <c r="N356" s="16" t="str">
        <f>IFERROR(VLOOKUP(A356,[1]Hoja1!$A$2:$J$68,10,FALSE), " - ")</f>
        <v xml:space="preserve"> - </v>
      </c>
    </row>
    <row r="357" spans="1:14" x14ac:dyDescent="0.3">
      <c r="A357" s="2">
        <v>36310</v>
      </c>
      <c r="B357" s="2" t="s">
        <v>12</v>
      </c>
      <c r="C357" s="3" t="s">
        <v>13</v>
      </c>
      <c r="D357" s="2" t="s">
        <v>14</v>
      </c>
      <c r="E357" s="12">
        <v>46197</v>
      </c>
      <c r="F357" s="2" t="s">
        <v>15</v>
      </c>
      <c r="G357" s="3" t="s">
        <v>149</v>
      </c>
      <c r="H357" s="3" t="s">
        <v>91</v>
      </c>
      <c r="I357" s="4" t="s">
        <v>153</v>
      </c>
      <c r="J357" s="2" t="s">
        <v>18</v>
      </c>
      <c r="K357" s="3" t="s">
        <v>35</v>
      </c>
      <c r="L357" s="3" t="s">
        <v>152</v>
      </c>
      <c r="M357" s="15">
        <v>46217</v>
      </c>
      <c r="N357" s="16" t="str">
        <f>IFERROR(VLOOKUP(A357,[1]Hoja1!$A$2:$J$68,10,FALSE), " - ")</f>
        <v xml:space="preserve"> - </v>
      </c>
    </row>
    <row r="358" spans="1:14" x14ac:dyDescent="0.3">
      <c r="A358" s="5">
        <v>36310</v>
      </c>
      <c r="B358" s="5" t="s">
        <v>12</v>
      </c>
      <c r="C358" s="6" t="s">
        <v>13</v>
      </c>
      <c r="D358" s="5" t="s">
        <v>14</v>
      </c>
      <c r="E358" s="13">
        <v>46197</v>
      </c>
      <c r="F358" s="5" t="s">
        <v>15</v>
      </c>
      <c r="G358" s="6" t="s">
        <v>149</v>
      </c>
      <c r="H358" s="6" t="s">
        <v>91</v>
      </c>
      <c r="I358" s="4" t="s">
        <v>154</v>
      </c>
      <c r="J358" s="5" t="s">
        <v>18</v>
      </c>
      <c r="K358" s="6" t="s">
        <v>35</v>
      </c>
      <c r="L358" s="6" t="s">
        <v>152</v>
      </c>
      <c r="M358" s="15">
        <v>46217</v>
      </c>
      <c r="N358" s="16" t="str">
        <f>IFERROR(VLOOKUP(A358,[1]Hoja1!$A$2:$J$68,10,FALSE), " - ")</f>
        <v xml:space="preserve"> - </v>
      </c>
    </row>
    <row r="359" spans="1:14" x14ac:dyDescent="0.3">
      <c r="A359" s="2">
        <v>36310</v>
      </c>
      <c r="B359" s="2" t="s">
        <v>12</v>
      </c>
      <c r="C359" s="3" t="s">
        <v>13</v>
      </c>
      <c r="D359" s="2" t="s">
        <v>14</v>
      </c>
      <c r="E359" s="12">
        <v>46197</v>
      </c>
      <c r="F359" s="2" t="s">
        <v>15</v>
      </c>
      <c r="G359" s="3" t="s">
        <v>149</v>
      </c>
      <c r="H359" s="3" t="s">
        <v>91</v>
      </c>
      <c r="I359" s="4" t="s">
        <v>456</v>
      </c>
      <c r="J359" s="2" t="s">
        <v>18</v>
      </c>
      <c r="K359" s="3" t="s">
        <v>100</v>
      </c>
      <c r="L359" s="3" t="s">
        <v>152</v>
      </c>
      <c r="M359" s="15">
        <v>46217</v>
      </c>
      <c r="N359" s="16" t="str">
        <f>IFERROR(VLOOKUP(A359,[1]Hoja1!$A$2:$J$68,10,FALSE), " - ")</f>
        <v xml:space="preserve"> - </v>
      </c>
    </row>
    <row r="360" spans="1:14" x14ac:dyDescent="0.3">
      <c r="A360" s="5">
        <v>36310</v>
      </c>
      <c r="B360" s="5" t="s">
        <v>12</v>
      </c>
      <c r="C360" s="6" t="s">
        <v>13</v>
      </c>
      <c r="D360" s="5" t="s">
        <v>14</v>
      </c>
      <c r="E360" s="13">
        <v>46197</v>
      </c>
      <c r="F360" s="5" t="s">
        <v>15</v>
      </c>
      <c r="G360" s="6" t="s">
        <v>149</v>
      </c>
      <c r="H360" s="6" t="s">
        <v>91</v>
      </c>
      <c r="I360" s="4" t="s">
        <v>92</v>
      </c>
      <c r="J360" s="5" t="s">
        <v>18</v>
      </c>
      <c r="K360" s="6" t="s">
        <v>35</v>
      </c>
      <c r="L360" s="6" t="s">
        <v>152</v>
      </c>
      <c r="M360" s="15">
        <v>46217</v>
      </c>
      <c r="N360" s="16" t="str">
        <f>IFERROR(VLOOKUP(A360,[1]Hoja1!$A$2:$J$68,10,FALSE), " - ")</f>
        <v xml:space="preserve"> - </v>
      </c>
    </row>
    <row r="361" spans="1:14" x14ac:dyDescent="0.3">
      <c r="A361" s="5">
        <v>36310</v>
      </c>
      <c r="B361" s="5" t="s">
        <v>12</v>
      </c>
      <c r="C361" s="6" t="s">
        <v>13</v>
      </c>
      <c r="D361" s="5" t="s">
        <v>14</v>
      </c>
      <c r="E361" s="13">
        <v>46197</v>
      </c>
      <c r="F361" s="5" t="s">
        <v>15</v>
      </c>
      <c r="G361" s="6" t="s">
        <v>149</v>
      </c>
      <c r="H361" s="6" t="s">
        <v>91</v>
      </c>
      <c r="I361" s="4" t="s">
        <v>878</v>
      </c>
      <c r="J361" s="5" t="s">
        <v>18</v>
      </c>
      <c r="K361" s="6" t="s">
        <v>424</v>
      </c>
      <c r="L361" s="6" t="s">
        <v>152</v>
      </c>
      <c r="M361" s="15">
        <v>46217</v>
      </c>
      <c r="N361" s="16" t="str">
        <f>IFERROR(VLOOKUP(A361,[1]Hoja1!$A$2:$J$68,10,FALSE), " - ")</f>
        <v xml:space="preserve"> - </v>
      </c>
    </row>
    <row r="362" spans="1:14" x14ac:dyDescent="0.3">
      <c r="A362" s="2">
        <v>36322</v>
      </c>
      <c r="B362" s="2" t="s">
        <v>12</v>
      </c>
      <c r="C362" s="3" t="s">
        <v>13</v>
      </c>
      <c r="D362" s="2" t="s">
        <v>26</v>
      </c>
      <c r="E362" s="12">
        <v>46197</v>
      </c>
      <c r="F362" s="2" t="s">
        <v>27</v>
      </c>
      <c r="G362" s="3" t="s">
        <v>821</v>
      </c>
      <c r="H362" s="3" t="s">
        <v>537</v>
      </c>
      <c r="I362" s="4" t="s">
        <v>531</v>
      </c>
      <c r="J362" s="2" t="s">
        <v>18</v>
      </c>
      <c r="K362" s="3" t="s">
        <v>716</v>
      </c>
      <c r="L362" s="3" t="s">
        <v>879</v>
      </c>
      <c r="M362" s="15">
        <v>46217</v>
      </c>
      <c r="N362" s="16" t="str">
        <f>IFERROR(VLOOKUP(A362,[1]Hoja1!$A$2:$J$68,10,FALSE), " - ")</f>
        <v xml:space="preserve"> - </v>
      </c>
    </row>
    <row r="363" spans="1:14" x14ac:dyDescent="0.3">
      <c r="A363" s="5">
        <v>36341</v>
      </c>
      <c r="B363" s="5" t="s">
        <v>62</v>
      </c>
      <c r="C363" s="6" t="s">
        <v>63</v>
      </c>
      <c r="D363" s="5" t="s">
        <v>26</v>
      </c>
      <c r="E363" s="13">
        <v>46197</v>
      </c>
      <c r="F363" s="5" t="s">
        <v>27</v>
      </c>
      <c r="G363" s="6" t="s">
        <v>388</v>
      </c>
      <c r="H363" s="6" t="s">
        <v>29</v>
      </c>
      <c r="I363" s="7" t="s">
        <v>603</v>
      </c>
      <c r="J363" s="5" t="s">
        <v>18</v>
      </c>
      <c r="K363" s="6" t="s">
        <v>31</v>
      </c>
      <c r="L363" s="6" t="s">
        <v>32</v>
      </c>
      <c r="M363" s="15">
        <v>46217</v>
      </c>
      <c r="N363" s="16" t="str">
        <f>IFERROR(VLOOKUP(A363,[1]Hoja1!$A$2:$J$68,10,FALSE), " - ")</f>
        <v xml:space="preserve"> - </v>
      </c>
    </row>
    <row r="364" spans="1:14" x14ac:dyDescent="0.3">
      <c r="A364" s="2">
        <v>36342</v>
      </c>
      <c r="B364" s="2" t="s">
        <v>62</v>
      </c>
      <c r="C364" s="3" t="s">
        <v>63</v>
      </c>
      <c r="D364" s="2" t="s">
        <v>26</v>
      </c>
      <c r="E364" s="12">
        <v>46197</v>
      </c>
      <c r="F364" s="2" t="s">
        <v>27</v>
      </c>
      <c r="G364" s="3" t="s">
        <v>796</v>
      </c>
      <c r="H364" s="3" t="s">
        <v>130</v>
      </c>
      <c r="I364" s="7" t="s">
        <v>797</v>
      </c>
      <c r="J364" s="2" t="s">
        <v>18</v>
      </c>
      <c r="K364" s="3" t="s">
        <v>31</v>
      </c>
      <c r="L364" s="3" t="s">
        <v>32</v>
      </c>
      <c r="M364" s="15">
        <v>46217</v>
      </c>
      <c r="N364" s="16" t="str">
        <f>IFERROR(VLOOKUP(A364,[1]Hoja1!$A$2:$J$68,10,FALSE), " - ")</f>
        <v xml:space="preserve"> - </v>
      </c>
    </row>
    <row r="365" spans="1:14" x14ac:dyDescent="0.3">
      <c r="A365" s="2">
        <v>36344</v>
      </c>
      <c r="B365" s="2" t="s">
        <v>12</v>
      </c>
      <c r="C365" s="3" t="s">
        <v>13</v>
      </c>
      <c r="D365" s="2" t="s">
        <v>26</v>
      </c>
      <c r="E365" s="12">
        <v>46197</v>
      </c>
      <c r="F365" s="2" t="s">
        <v>27</v>
      </c>
      <c r="G365" s="3" t="s">
        <v>373</v>
      </c>
      <c r="H365" s="3" t="s">
        <v>29</v>
      </c>
      <c r="I365" s="4" t="s">
        <v>309</v>
      </c>
      <c r="J365" s="2" t="s">
        <v>18</v>
      </c>
      <c r="K365" s="3" t="s">
        <v>310</v>
      </c>
      <c r="L365" s="3" t="s">
        <v>374</v>
      </c>
      <c r="M365" s="15">
        <v>46217</v>
      </c>
      <c r="N365" s="16" t="str">
        <f>IFERROR(VLOOKUP(A365,[1]Hoja1!$A$2:$J$68,10,FALSE), " - ")</f>
        <v xml:space="preserve"> - </v>
      </c>
    </row>
    <row r="366" spans="1:14" x14ac:dyDescent="0.3">
      <c r="A366" s="5">
        <v>36344</v>
      </c>
      <c r="B366" s="5" t="s">
        <v>12</v>
      </c>
      <c r="C366" s="6" t="s">
        <v>13</v>
      </c>
      <c r="D366" s="5" t="s">
        <v>26</v>
      </c>
      <c r="E366" s="13">
        <v>46197</v>
      </c>
      <c r="F366" s="5" t="s">
        <v>27</v>
      </c>
      <c r="G366" s="6" t="s">
        <v>373</v>
      </c>
      <c r="H366" s="6" t="s">
        <v>29</v>
      </c>
      <c r="I366" s="4" t="s">
        <v>123</v>
      </c>
      <c r="J366" s="5" t="s">
        <v>18</v>
      </c>
      <c r="K366" s="6" t="s">
        <v>35</v>
      </c>
      <c r="L366" s="6" t="s">
        <v>374</v>
      </c>
      <c r="M366" s="15">
        <v>46217</v>
      </c>
      <c r="N366" s="16" t="str">
        <f>IFERROR(VLOOKUP(A366,[1]Hoja1!$A$2:$J$68,10,FALSE), " - ")</f>
        <v xml:space="preserve"> - </v>
      </c>
    </row>
    <row r="367" spans="1:14" x14ac:dyDescent="0.3">
      <c r="A367" s="2">
        <v>36347</v>
      </c>
      <c r="B367" s="2" t="s">
        <v>12</v>
      </c>
      <c r="C367" s="3" t="s">
        <v>13</v>
      </c>
      <c r="D367" s="2" t="s">
        <v>26</v>
      </c>
      <c r="E367" s="12">
        <v>46197</v>
      </c>
      <c r="F367" s="2" t="s">
        <v>27</v>
      </c>
      <c r="G367" s="3" t="s">
        <v>802</v>
      </c>
      <c r="H367" s="3" t="s">
        <v>77</v>
      </c>
      <c r="I367" s="4" t="s">
        <v>228</v>
      </c>
      <c r="J367" s="2" t="s">
        <v>18</v>
      </c>
      <c r="K367" s="3" t="s">
        <v>100</v>
      </c>
      <c r="L367" s="3" t="s">
        <v>853</v>
      </c>
      <c r="M367" s="15">
        <v>46217</v>
      </c>
      <c r="N367" s="16" t="str">
        <f>IFERROR(VLOOKUP(A367,[1]Hoja1!$A$2:$J$68,10,FALSE), " - ")</f>
        <v xml:space="preserve"> - </v>
      </c>
    </row>
    <row r="368" spans="1:14" x14ac:dyDescent="0.3">
      <c r="A368" s="5">
        <v>36348</v>
      </c>
      <c r="B368" s="5" t="s">
        <v>12</v>
      </c>
      <c r="C368" s="6" t="s">
        <v>13</v>
      </c>
      <c r="D368" s="5" t="s">
        <v>14</v>
      </c>
      <c r="E368" s="13">
        <v>46197</v>
      </c>
      <c r="F368" s="5" t="s">
        <v>15</v>
      </c>
      <c r="G368" s="6" t="s">
        <v>375</v>
      </c>
      <c r="H368" s="6" t="s">
        <v>65</v>
      </c>
      <c r="I368" s="4" t="s">
        <v>376</v>
      </c>
      <c r="J368" s="5" t="s">
        <v>18</v>
      </c>
      <c r="K368" s="6" t="s">
        <v>377</v>
      </c>
      <c r="L368" s="6" t="s">
        <v>378</v>
      </c>
      <c r="M368" s="15">
        <v>46217</v>
      </c>
      <c r="N368" s="16" t="str">
        <f>IFERROR(VLOOKUP(A368,[1]Hoja1!$A$2:$J$68,10,FALSE), " - ")</f>
        <v xml:space="preserve"> - </v>
      </c>
    </row>
    <row r="369" spans="1:14" x14ac:dyDescent="0.3">
      <c r="A369" s="2">
        <v>36348</v>
      </c>
      <c r="B369" s="2" t="s">
        <v>12</v>
      </c>
      <c r="C369" s="3" t="s">
        <v>13</v>
      </c>
      <c r="D369" s="2" t="s">
        <v>14</v>
      </c>
      <c r="E369" s="12">
        <v>46197</v>
      </c>
      <c r="F369" s="2" t="s">
        <v>15</v>
      </c>
      <c r="G369" s="3" t="s">
        <v>375</v>
      </c>
      <c r="H369" s="3" t="s">
        <v>65</v>
      </c>
      <c r="I369" s="4" t="s">
        <v>379</v>
      </c>
      <c r="J369" s="2" t="s">
        <v>18</v>
      </c>
      <c r="K369" s="3" t="s">
        <v>377</v>
      </c>
      <c r="L369" s="3" t="s">
        <v>378</v>
      </c>
      <c r="M369" s="15">
        <v>46217</v>
      </c>
      <c r="N369" s="16" t="str">
        <f>IFERROR(VLOOKUP(A369,[1]Hoja1!$A$2:$J$68,10,FALSE), " - ")</f>
        <v xml:space="preserve"> - </v>
      </c>
    </row>
    <row r="370" spans="1:14" x14ac:dyDescent="0.3">
      <c r="A370" s="2">
        <v>36349</v>
      </c>
      <c r="B370" s="2" t="s">
        <v>12</v>
      </c>
      <c r="C370" s="3" t="s">
        <v>13</v>
      </c>
      <c r="D370" s="2" t="s">
        <v>26</v>
      </c>
      <c r="E370" s="12">
        <v>46197</v>
      </c>
      <c r="F370" s="2" t="s">
        <v>27</v>
      </c>
      <c r="G370" s="3" t="s">
        <v>313</v>
      </c>
      <c r="H370" s="3" t="s">
        <v>17</v>
      </c>
      <c r="I370" s="4" t="s">
        <v>314</v>
      </c>
      <c r="J370" s="2" t="s">
        <v>18</v>
      </c>
      <c r="K370" s="3" t="s">
        <v>107</v>
      </c>
      <c r="L370" s="3" t="s">
        <v>315</v>
      </c>
      <c r="M370" s="15">
        <v>46217</v>
      </c>
      <c r="N370" s="16" t="str">
        <f>IFERROR(VLOOKUP(A370,[1]Hoja1!$A$2:$J$68,10,FALSE), " - ")</f>
        <v xml:space="preserve"> - </v>
      </c>
    </row>
    <row r="371" spans="1:14" x14ac:dyDescent="0.3">
      <c r="A371" s="2">
        <v>36522</v>
      </c>
      <c r="B371" s="2" t="s">
        <v>12</v>
      </c>
      <c r="C371" s="3" t="s">
        <v>63</v>
      </c>
      <c r="D371" s="2" t="s">
        <v>26</v>
      </c>
      <c r="E371" s="12">
        <v>46197</v>
      </c>
      <c r="F371" s="2" t="s">
        <v>27</v>
      </c>
      <c r="G371" s="3" t="s">
        <v>370</v>
      </c>
      <c r="H371" s="3" t="s">
        <v>196</v>
      </c>
      <c r="I371" s="4" t="s">
        <v>123</v>
      </c>
      <c r="J371" s="2" t="s">
        <v>18</v>
      </c>
      <c r="K371" s="3" t="s">
        <v>35</v>
      </c>
      <c r="L371" s="3" t="s">
        <v>618</v>
      </c>
      <c r="M371" s="15">
        <v>46217</v>
      </c>
      <c r="N371" s="16" t="str">
        <f>IFERROR(VLOOKUP(A371,[1]Hoja1!$A$2:$J$68,10,FALSE), " - ")</f>
        <v xml:space="preserve"> - </v>
      </c>
    </row>
    <row r="372" spans="1:14" x14ac:dyDescent="0.3">
      <c r="A372" s="5">
        <v>36524</v>
      </c>
      <c r="B372" s="5" t="s">
        <v>12</v>
      </c>
      <c r="C372" s="6" t="s">
        <v>63</v>
      </c>
      <c r="D372" s="5" t="s">
        <v>26</v>
      </c>
      <c r="E372" s="13">
        <v>46197</v>
      </c>
      <c r="F372" s="5" t="s">
        <v>27</v>
      </c>
      <c r="G372" s="6" t="s">
        <v>174</v>
      </c>
      <c r="H372" s="6" t="s">
        <v>38</v>
      </c>
      <c r="I372" s="4" t="s">
        <v>400</v>
      </c>
      <c r="J372" s="5" t="s">
        <v>18</v>
      </c>
      <c r="K372" s="6" t="s">
        <v>35</v>
      </c>
      <c r="L372" s="6" t="s">
        <v>401</v>
      </c>
      <c r="M372" s="15">
        <v>46217</v>
      </c>
      <c r="N372" s="16" t="str">
        <f>IFERROR(VLOOKUP(A372,[1]Hoja1!$A$2:$J$68,10,FALSE), " - ")</f>
        <v xml:space="preserve"> - </v>
      </c>
    </row>
    <row r="373" spans="1:14" x14ac:dyDescent="0.3">
      <c r="A373" s="2">
        <v>36524</v>
      </c>
      <c r="B373" s="2" t="s">
        <v>12</v>
      </c>
      <c r="C373" s="3" t="s">
        <v>63</v>
      </c>
      <c r="D373" s="2" t="s">
        <v>26</v>
      </c>
      <c r="E373" s="12">
        <v>46197</v>
      </c>
      <c r="F373" s="2" t="s">
        <v>27</v>
      </c>
      <c r="G373" s="3" t="s">
        <v>174</v>
      </c>
      <c r="H373" s="3" t="s">
        <v>38</v>
      </c>
      <c r="I373" s="4" t="s">
        <v>123</v>
      </c>
      <c r="J373" s="2" t="s">
        <v>18</v>
      </c>
      <c r="K373" s="3" t="s">
        <v>35</v>
      </c>
      <c r="L373" s="3" t="s">
        <v>401</v>
      </c>
      <c r="M373" s="15">
        <v>46217</v>
      </c>
      <c r="N373" s="16" t="str">
        <f>IFERROR(VLOOKUP(A373,[1]Hoja1!$A$2:$J$68,10,FALSE), " - ")</f>
        <v xml:space="preserve"> - </v>
      </c>
    </row>
    <row r="374" spans="1:14" x14ac:dyDescent="0.3">
      <c r="A374" s="2">
        <v>36535</v>
      </c>
      <c r="B374" s="2" t="s">
        <v>12</v>
      </c>
      <c r="C374" s="3" t="s">
        <v>57</v>
      </c>
      <c r="D374" s="2" t="s">
        <v>26</v>
      </c>
      <c r="E374" s="12">
        <v>46197</v>
      </c>
      <c r="F374" s="2" t="s">
        <v>15</v>
      </c>
      <c r="G374" s="3" t="s">
        <v>328</v>
      </c>
      <c r="H374" s="3" t="s">
        <v>20</v>
      </c>
      <c r="I374" s="7" t="s">
        <v>60</v>
      </c>
      <c r="J374" s="2" t="s">
        <v>18</v>
      </c>
      <c r="K374" s="3" t="s">
        <v>31</v>
      </c>
      <c r="L374" s="3" t="s">
        <v>32</v>
      </c>
      <c r="M374" s="15">
        <v>46217</v>
      </c>
      <c r="N374" s="16" t="str">
        <f>IFERROR(VLOOKUP(A374,[1]Hoja1!$A$2:$J$68,10,FALSE), " - ")</f>
        <v xml:space="preserve"> - </v>
      </c>
    </row>
    <row r="375" spans="1:14" x14ac:dyDescent="0.3">
      <c r="A375" s="2">
        <v>36536</v>
      </c>
      <c r="B375" s="2" t="s">
        <v>12</v>
      </c>
      <c r="C375" s="3" t="s">
        <v>57</v>
      </c>
      <c r="D375" s="2" t="s">
        <v>26</v>
      </c>
      <c r="E375" s="12">
        <v>46197</v>
      </c>
      <c r="F375" s="2" t="s">
        <v>15</v>
      </c>
      <c r="G375" s="3" t="s">
        <v>568</v>
      </c>
      <c r="H375" s="3" t="s">
        <v>17</v>
      </c>
      <c r="I375" s="7" t="s">
        <v>60</v>
      </c>
      <c r="J375" s="2" t="s">
        <v>18</v>
      </c>
      <c r="K375" s="3" t="s">
        <v>31</v>
      </c>
      <c r="L375" s="3" t="s">
        <v>32</v>
      </c>
      <c r="M375" s="15">
        <v>46217</v>
      </c>
      <c r="N375" s="16" t="str">
        <f>IFERROR(VLOOKUP(A375,[1]Hoja1!$A$2:$J$68,10,FALSE), " - ")</f>
        <v xml:space="preserve"> - </v>
      </c>
    </row>
    <row r="376" spans="1:14" x14ac:dyDescent="0.3">
      <c r="A376" s="2">
        <v>36537</v>
      </c>
      <c r="B376" s="2" t="s">
        <v>12</v>
      </c>
      <c r="C376" s="3" t="s">
        <v>57</v>
      </c>
      <c r="D376" s="2" t="s">
        <v>26</v>
      </c>
      <c r="E376" s="12">
        <v>46197</v>
      </c>
      <c r="F376" s="2" t="s">
        <v>15</v>
      </c>
      <c r="G376" s="3" t="s">
        <v>193</v>
      </c>
      <c r="H376" s="3" t="s">
        <v>17</v>
      </c>
      <c r="I376" s="7" t="s">
        <v>60</v>
      </c>
      <c r="J376" s="2" t="s">
        <v>18</v>
      </c>
      <c r="K376" s="3" t="s">
        <v>31</v>
      </c>
      <c r="L376" s="3" t="s">
        <v>32</v>
      </c>
      <c r="M376" s="15">
        <v>46217</v>
      </c>
      <c r="N376" s="16" t="str">
        <f>IFERROR(VLOOKUP(A376,[1]Hoja1!$A$2:$J$68,10,FALSE), " - ")</f>
        <v xml:space="preserve"> - </v>
      </c>
    </row>
    <row r="377" spans="1:14" x14ac:dyDescent="0.3">
      <c r="A377" s="5">
        <v>36538</v>
      </c>
      <c r="B377" s="5" t="s">
        <v>12</v>
      </c>
      <c r="C377" s="6" t="s">
        <v>57</v>
      </c>
      <c r="D377" s="5" t="s">
        <v>26</v>
      </c>
      <c r="E377" s="13">
        <v>46197</v>
      </c>
      <c r="F377" s="5" t="s">
        <v>15</v>
      </c>
      <c r="G377" s="6" t="s">
        <v>754</v>
      </c>
      <c r="H377" s="6" t="s">
        <v>17</v>
      </c>
      <c r="I377" s="7" t="s">
        <v>60</v>
      </c>
      <c r="J377" s="5" t="s">
        <v>18</v>
      </c>
      <c r="K377" s="6" t="s">
        <v>31</v>
      </c>
      <c r="L377" s="6" t="s">
        <v>32</v>
      </c>
      <c r="M377" s="15">
        <v>46217</v>
      </c>
      <c r="N377" s="16" t="str">
        <f>IFERROR(VLOOKUP(A377,[1]Hoja1!$A$2:$J$68,10,FALSE), " - ")</f>
        <v xml:space="preserve"> - </v>
      </c>
    </row>
    <row r="378" spans="1:14" x14ac:dyDescent="0.3">
      <c r="A378" s="5">
        <v>36539</v>
      </c>
      <c r="B378" s="5" t="s">
        <v>12</v>
      </c>
      <c r="C378" s="6" t="s">
        <v>57</v>
      </c>
      <c r="D378" s="5" t="s">
        <v>26</v>
      </c>
      <c r="E378" s="13">
        <v>46197</v>
      </c>
      <c r="F378" s="5" t="s">
        <v>15</v>
      </c>
      <c r="G378" s="6" t="s">
        <v>324</v>
      </c>
      <c r="H378" s="6" t="s">
        <v>29</v>
      </c>
      <c r="I378" s="7" t="s">
        <v>60</v>
      </c>
      <c r="J378" s="5" t="s">
        <v>18</v>
      </c>
      <c r="K378" s="6" t="s">
        <v>31</v>
      </c>
      <c r="L378" s="6" t="s">
        <v>32</v>
      </c>
      <c r="M378" s="15">
        <v>46217</v>
      </c>
      <c r="N378" s="16" t="str">
        <f>IFERROR(VLOOKUP(A378,[1]Hoja1!$A$2:$J$68,10,FALSE), " - ")</f>
        <v xml:space="preserve"> - </v>
      </c>
    </row>
    <row r="379" spans="1:14" x14ac:dyDescent="0.3">
      <c r="A379" s="5">
        <v>36540</v>
      </c>
      <c r="B379" s="5" t="s">
        <v>12</v>
      </c>
      <c r="C379" s="6" t="s">
        <v>57</v>
      </c>
      <c r="D379" s="5" t="s">
        <v>26</v>
      </c>
      <c r="E379" s="13">
        <v>46197</v>
      </c>
      <c r="F379" s="5" t="s">
        <v>15</v>
      </c>
      <c r="G379" s="6" t="s">
        <v>218</v>
      </c>
      <c r="H379" s="6" t="s">
        <v>29</v>
      </c>
      <c r="I379" s="7" t="s">
        <v>60</v>
      </c>
      <c r="J379" s="5" t="s">
        <v>18</v>
      </c>
      <c r="K379" s="6" t="s">
        <v>31</v>
      </c>
      <c r="L379" s="6" t="s">
        <v>32</v>
      </c>
      <c r="M379" s="15">
        <v>46217</v>
      </c>
      <c r="N379" s="16" t="str">
        <f>IFERROR(VLOOKUP(A379,[1]Hoja1!$A$2:$J$68,10,FALSE), " - ")</f>
        <v xml:space="preserve"> - </v>
      </c>
    </row>
    <row r="380" spans="1:14" x14ac:dyDescent="0.3">
      <c r="A380" s="2">
        <v>36541</v>
      </c>
      <c r="B380" s="2" t="s">
        <v>12</v>
      </c>
      <c r="C380" s="3" t="s">
        <v>57</v>
      </c>
      <c r="D380" s="2" t="s">
        <v>26</v>
      </c>
      <c r="E380" s="12">
        <v>46197</v>
      </c>
      <c r="F380" s="2" t="s">
        <v>15</v>
      </c>
      <c r="G380" s="3" t="s">
        <v>219</v>
      </c>
      <c r="H380" s="3" t="s">
        <v>189</v>
      </c>
      <c r="I380" s="7" t="s">
        <v>60</v>
      </c>
      <c r="J380" s="2" t="s">
        <v>18</v>
      </c>
      <c r="K380" s="3" t="s">
        <v>31</v>
      </c>
      <c r="L380" s="3" t="s">
        <v>32</v>
      </c>
      <c r="M380" s="15">
        <v>46217</v>
      </c>
      <c r="N380" s="16" t="str">
        <f>IFERROR(VLOOKUP(A380,[1]Hoja1!$A$2:$J$68,10,FALSE), " - ")</f>
        <v xml:space="preserve"> - </v>
      </c>
    </row>
    <row r="381" spans="1:14" x14ac:dyDescent="0.3">
      <c r="A381" s="5">
        <v>36542</v>
      </c>
      <c r="B381" s="5" t="s">
        <v>12</v>
      </c>
      <c r="C381" s="6" t="s">
        <v>57</v>
      </c>
      <c r="D381" s="5" t="s">
        <v>26</v>
      </c>
      <c r="E381" s="13">
        <v>46197</v>
      </c>
      <c r="F381" s="5" t="s">
        <v>15</v>
      </c>
      <c r="G381" s="6" t="s">
        <v>368</v>
      </c>
      <c r="H381" s="6" t="s">
        <v>189</v>
      </c>
      <c r="I381" s="7" t="s">
        <v>60</v>
      </c>
      <c r="J381" s="5" t="s">
        <v>18</v>
      </c>
      <c r="K381" s="6" t="s">
        <v>31</v>
      </c>
      <c r="L381" s="6" t="s">
        <v>32</v>
      </c>
      <c r="M381" s="15">
        <v>46217</v>
      </c>
      <c r="N381" s="16" t="str">
        <f>IFERROR(VLOOKUP(A381,[1]Hoja1!$A$2:$J$68,10,FALSE), " - ")</f>
        <v xml:space="preserve"> - </v>
      </c>
    </row>
    <row r="382" spans="1:14" x14ac:dyDescent="0.3">
      <c r="A382" s="5">
        <v>36543</v>
      </c>
      <c r="B382" s="5" t="s">
        <v>12</v>
      </c>
      <c r="C382" s="6" t="s">
        <v>57</v>
      </c>
      <c r="D382" s="5" t="s">
        <v>26</v>
      </c>
      <c r="E382" s="13">
        <v>46197</v>
      </c>
      <c r="F382" s="5" t="s">
        <v>15</v>
      </c>
      <c r="G382" s="6" t="s">
        <v>574</v>
      </c>
      <c r="H382" s="6" t="s">
        <v>17</v>
      </c>
      <c r="I382" s="7" t="s">
        <v>60</v>
      </c>
      <c r="J382" s="5" t="s">
        <v>18</v>
      </c>
      <c r="K382" s="6" t="s">
        <v>31</v>
      </c>
      <c r="L382" s="6" t="s">
        <v>32</v>
      </c>
      <c r="M382" s="15">
        <v>46217</v>
      </c>
      <c r="N382" s="16" t="str">
        <f>IFERROR(VLOOKUP(A382,[1]Hoja1!$A$2:$J$68,10,FALSE), " - ")</f>
        <v xml:space="preserve"> - </v>
      </c>
    </row>
    <row r="383" spans="1:14" x14ac:dyDescent="0.3">
      <c r="A383" s="5">
        <v>36544</v>
      </c>
      <c r="B383" s="5" t="s">
        <v>12</v>
      </c>
      <c r="C383" s="6" t="s">
        <v>57</v>
      </c>
      <c r="D383" s="5" t="s">
        <v>26</v>
      </c>
      <c r="E383" s="13">
        <v>46197</v>
      </c>
      <c r="F383" s="5" t="s">
        <v>15</v>
      </c>
      <c r="G383" s="6" t="s">
        <v>656</v>
      </c>
      <c r="H383" s="6" t="s">
        <v>20</v>
      </c>
      <c r="I383" s="7" t="s">
        <v>60</v>
      </c>
      <c r="J383" s="5" t="s">
        <v>18</v>
      </c>
      <c r="K383" s="6" t="s">
        <v>31</v>
      </c>
      <c r="L383" s="6" t="s">
        <v>32</v>
      </c>
      <c r="M383" s="15">
        <v>46217</v>
      </c>
      <c r="N383" s="16" t="str">
        <f>IFERROR(VLOOKUP(A383,[1]Hoja1!$A$2:$J$68,10,FALSE), " - ")</f>
        <v xml:space="preserve"> - </v>
      </c>
    </row>
    <row r="384" spans="1:14" x14ac:dyDescent="0.3">
      <c r="A384" s="2">
        <v>36545</v>
      </c>
      <c r="B384" s="2" t="s">
        <v>12</v>
      </c>
      <c r="C384" s="3" t="s">
        <v>57</v>
      </c>
      <c r="D384" s="2" t="s">
        <v>26</v>
      </c>
      <c r="E384" s="12">
        <v>46197</v>
      </c>
      <c r="F384" s="2" t="s">
        <v>15</v>
      </c>
      <c r="G384" s="3" t="s">
        <v>755</v>
      </c>
      <c r="H384" s="3" t="s">
        <v>20</v>
      </c>
      <c r="I384" s="7" t="s">
        <v>60</v>
      </c>
      <c r="J384" s="2" t="s">
        <v>18</v>
      </c>
      <c r="K384" s="3" t="s">
        <v>31</v>
      </c>
      <c r="L384" s="3" t="s">
        <v>32</v>
      </c>
      <c r="M384" s="15">
        <v>46217</v>
      </c>
      <c r="N384" s="16" t="str">
        <f>IFERROR(VLOOKUP(A384,[1]Hoja1!$A$2:$J$68,10,FALSE), " - ")</f>
        <v xml:space="preserve"> - </v>
      </c>
    </row>
    <row r="385" spans="1:14" x14ac:dyDescent="0.3">
      <c r="A385" s="2">
        <v>36546</v>
      </c>
      <c r="B385" s="2" t="s">
        <v>12</v>
      </c>
      <c r="C385" s="3" t="s">
        <v>57</v>
      </c>
      <c r="D385" s="2" t="s">
        <v>26</v>
      </c>
      <c r="E385" s="12">
        <v>46197</v>
      </c>
      <c r="F385" s="2" t="s">
        <v>15</v>
      </c>
      <c r="G385" s="3" t="s">
        <v>410</v>
      </c>
      <c r="H385" s="3" t="s">
        <v>20</v>
      </c>
      <c r="I385" s="7" t="s">
        <v>60</v>
      </c>
      <c r="J385" s="2" t="s">
        <v>18</v>
      </c>
      <c r="K385" s="3" t="s">
        <v>31</v>
      </c>
      <c r="L385" s="3" t="s">
        <v>32</v>
      </c>
      <c r="M385" s="15">
        <v>46217</v>
      </c>
      <c r="N385" s="16" t="str">
        <f>IFERROR(VLOOKUP(A385,[1]Hoja1!$A$2:$J$68,10,FALSE), " - ")</f>
        <v xml:space="preserve"> - </v>
      </c>
    </row>
    <row r="386" spans="1:14" x14ac:dyDescent="0.3">
      <c r="A386" s="5">
        <v>36547</v>
      </c>
      <c r="B386" s="5" t="s">
        <v>12</v>
      </c>
      <c r="C386" s="6" t="s">
        <v>57</v>
      </c>
      <c r="D386" s="5" t="s">
        <v>26</v>
      </c>
      <c r="E386" s="13">
        <v>46197</v>
      </c>
      <c r="F386" s="5" t="s">
        <v>15</v>
      </c>
      <c r="G386" s="6" t="s">
        <v>220</v>
      </c>
      <c r="H386" s="6" t="s">
        <v>189</v>
      </c>
      <c r="I386" s="7" t="s">
        <v>60</v>
      </c>
      <c r="J386" s="5" t="s">
        <v>18</v>
      </c>
      <c r="K386" s="6" t="s">
        <v>31</v>
      </c>
      <c r="L386" s="6" t="s">
        <v>32</v>
      </c>
      <c r="M386" s="15">
        <v>46217</v>
      </c>
      <c r="N386" s="16" t="str">
        <f>IFERROR(VLOOKUP(A386,[1]Hoja1!$A$2:$J$68,10,FALSE), " - ")</f>
        <v xml:space="preserve"> - </v>
      </c>
    </row>
    <row r="387" spans="1:14" x14ac:dyDescent="0.3">
      <c r="A387" s="2">
        <v>36548</v>
      </c>
      <c r="B387" s="2" t="s">
        <v>12</v>
      </c>
      <c r="C387" s="3" t="s">
        <v>57</v>
      </c>
      <c r="D387" s="2" t="s">
        <v>26</v>
      </c>
      <c r="E387" s="12">
        <v>46197</v>
      </c>
      <c r="F387" s="2" t="s">
        <v>15</v>
      </c>
      <c r="G387" s="3" t="s">
        <v>85</v>
      </c>
      <c r="H387" s="3" t="s">
        <v>86</v>
      </c>
      <c r="I387" s="7" t="s">
        <v>60</v>
      </c>
      <c r="J387" s="2" t="s">
        <v>18</v>
      </c>
      <c r="K387" s="3" t="s">
        <v>31</v>
      </c>
      <c r="L387" s="3" t="s">
        <v>32</v>
      </c>
      <c r="M387" s="15">
        <v>46217</v>
      </c>
      <c r="N387" s="16" t="str">
        <f>IFERROR(VLOOKUP(A387,[1]Hoja1!$A$2:$J$68,10,FALSE), " - ")</f>
        <v xml:space="preserve"> - </v>
      </c>
    </row>
    <row r="388" spans="1:14" x14ac:dyDescent="0.3">
      <c r="A388" s="5">
        <v>36549</v>
      </c>
      <c r="B388" s="5" t="s">
        <v>12</v>
      </c>
      <c r="C388" s="6" t="s">
        <v>57</v>
      </c>
      <c r="D388" s="5" t="s">
        <v>14</v>
      </c>
      <c r="E388" s="13">
        <v>46197</v>
      </c>
      <c r="F388" s="5" t="s">
        <v>15</v>
      </c>
      <c r="G388" s="6" t="s">
        <v>540</v>
      </c>
      <c r="H388" s="6" t="s">
        <v>20</v>
      </c>
      <c r="I388" s="7" t="s">
        <v>60</v>
      </c>
      <c r="J388" s="5" t="s">
        <v>18</v>
      </c>
      <c r="K388" s="6" t="s">
        <v>31</v>
      </c>
      <c r="L388" s="6" t="s">
        <v>32</v>
      </c>
      <c r="M388" s="15">
        <v>46217</v>
      </c>
      <c r="N388" s="16" t="str">
        <f>IFERROR(VLOOKUP(A388,[1]Hoja1!$A$2:$J$68,10,FALSE), " - ")</f>
        <v xml:space="preserve"> - </v>
      </c>
    </row>
    <row r="389" spans="1:14" x14ac:dyDescent="0.3">
      <c r="A389" s="5">
        <v>36550</v>
      </c>
      <c r="B389" s="5" t="s">
        <v>12</v>
      </c>
      <c r="C389" s="6" t="s">
        <v>57</v>
      </c>
      <c r="D389" s="5" t="s">
        <v>14</v>
      </c>
      <c r="E389" s="13">
        <v>46197</v>
      </c>
      <c r="F389" s="5" t="s">
        <v>15</v>
      </c>
      <c r="G389" s="6" t="s">
        <v>19</v>
      </c>
      <c r="H389" s="6" t="s">
        <v>20</v>
      </c>
      <c r="I389" s="7" t="s">
        <v>60</v>
      </c>
      <c r="J389" s="5" t="s">
        <v>18</v>
      </c>
      <c r="K389" s="6" t="s">
        <v>31</v>
      </c>
      <c r="L389" s="6" t="s">
        <v>32</v>
      </c>
      <c r="M389" s="15">
        <v>46217</v>
      </c>
      <c r="N389" s="16" t="str">
        <f>IFERROR(VLOOKUP(A389,[1]Hoja1!$A$2:$J$68,10,FALSE), " - ")</f>
        <v xml:space="preserve"> - </v>
      </c>
    </row>
    <row r="390" spans="1:14" x14ac:dyDescent="0.3">
      <c r="A390" s="5">
        <v>36551</v>
      </c>
      <c r="B390" s="5" t="s">
        <v>12</v>
      </c>
      <c r="C390" s="6" t="s">
        <v>57</v>
      </c>
      <c r="D390" s="5" t="s">
        <v>26</v>
      </c>
      <c r="E390" s="13">
        <v>46197</v>
      </c>
      <c r="F390" s="5" t="s">
        <v>15</v>
      </c>
      <c r="G390" s="6" t="s">
        <v>866</v>
      </c>
      <c r="H390" s="6" t="s">
        <v>17</v>
      </c>
      <c r="I390" s="7" t="s">
        <v>60</v>
      </c>
      <c r="J390" s="5" t="s">
        <v>18</v>
      </c>
      <c r="K390" s="6" t="s">
        <v>31</v>
      </c>
      <c r="L390" s="6" t="s">
        <v>32</v>
      </c>
      <c r="M390" s="15">
        <v>46217</v>
      </c>
      <c r="N390" s="16" t="str">
        <f>IFERROR(VLOOKUP(A390,[1]Hoja1!$A$2:$J$68,10,FALSE), " - ")</f>
        <v xml:space="preserve"> - </v>
      </c>
    </row>
    <row r="391" spans="1:14" x14ac:dyDescent="0.3">
      <c r="A391" s="5">
        <v>36561</v>
      </c>
      <c r="B391" s="5" t="s">
        <v>12</v>
      </c>
      <c r="C391" s="6" t="s">
        <v>57</v>
      </c>
      <c r="D391" s="5" t="s">
        <v>26</v>
      </c>
      <c r="E391" s="13">
        <v>46197</v>
      </c>
      <c r="F391" s="5" t="s">
        <v>15</v>
      </c>
      <c r="G391" s="6" t="s">
        <v>332</v>
      </c>
      <c r="H391" s="6" t="s">
        <v>189</v>
      </c>
      <c r="I391" s="7" t="s">
        <v>60</v>
      </c>
      <c r="J391" s="5" t="s">
        <v>18</v>
      </c>
      <c r="K391" s="6" t="s">
        <v>31</v>
      </c>
      <c r="L391" s="6" t="s">
        <v>32</v>
      </c>
      <c r="M391" s="15">
        <v>46217</v>
      </c>
      <c r="N391" s="16" t="str">
        <f>IFERROR(VLOOKUP(A391,[1]Hoja1!$A$2:$J$68,10,FALSE), " - ")</f>
        <v xml:space="preserve"> - </v>
      </c>
    </row>
    <row r="392" spans="1:14" x14ac:dyDescent="0.3">
      <c r="A392" s="5">
        <v>36562</v>
      </c>
      <c r="B392" s="5" t="s">
        <v>12</v>
      </c>
      <c r="C392" s="6" t="s">
        <v>57</v>
      </c>
      <c r="D392" s="5" t="s">
        <v>26</v>
      </c>
      <c r="E392" s="13">
        <v>46197</v>
      </c>
      <c r="F392" s="5" t="s">
        <v>15</v>
      </c>
      <c r="G392" s="6" t="s">
        <v>222</v>
      </c>
      <c r="H392" s="6" t="s">
        <v>38</v>
      </c>
      <c r="I392" s="7" t="s">
        <v>60</v>
      </c>
      <c r="J392" s="5" t="s">
        <v>18</v>
      </c>
      <c r="K392" s="6" t="s">
        <v>31</v>
      </c>
      <c r="L392" s="6" t="s">
        <v>32</v>
      </c>
      <c r="M392" s="15">
        <v>46217</v>
      </c>
      <c r="N392" s="16" t="str">
        <f>IFERROR(VLOOKUP(A392,[1]Hoja1!$A$2:$J$68,10,FALSE), " - ")</f>
        <v xml:space="preserve"> - </v>
      </c>
    </row>
    <row r="393" spans="1:14" x14ac:dyDescent="0.3">
      <c r="A393" s="2">
        <v>36563</v>
      </c>
      <c r="B393" s="2" t="s">
        <v>12</v>
      </c>
      <c r="C393" s="3" t="s">
        <v>57</v>
      </c>
      <c r="D393" s="2" t="s">
        <v>26</v>
      </c>
      <c r="E393" s="12">
        <v>46197</v>
      </c>
      <c r="F393" s="2" t="s">
        <v>15</v>
      </c>
      <c r="G393" s="3" t="s">
        <v>553</v>
      </c>
      <c r="H393" s="3" t="s">
        <v>501</v>
      </c>
      <c r="I393" s="7" t="s">
        <v>60</v>
      </c>
      <c r="J393" s="2" t="s">
        <v>18</v>
      </c>
      <c r="K393" s="3" t="s">
        <v>31</v>
      </c>
      <c r="L393" s="3" t="s">
        <v>32</v>
      </c>
      <c r="M393" s="15">
        <v>46217</v>
      </c>
      <c r="N393" s="16" t="str">
        <f>IFERROR(VLOOKUP(A393,[1]Hoja1!$A$2:$J$68,10,FALSE), " - ")</f>
        <v xml:space="preserve"> - </v>
      </c>
    </row>
    <row r="394" spans="1:14" x14ac:dyDescent="0.3">
      <c r="A394" s="5">
        <v>36355</v>
      </c>
      <c r="B394" s="5" t="s">
        <v>12</v>
      </c>
      <c r="C394" s="6" t="s">
        <v>13</v>
      </c>
      <c r="D394" s="5" t="s">
        <v>14</v>
      </c>
      <c r="E394" s="13">
        <v>46198</v>
      </c>
      <c r="F394" s="5" t="s">
        <v>15</v>
      </c>
      <c r="G394" s="6" t="s">
        <v>474</v>
      </c>
      <c r="H394" s="6" t="s">
        <v>137</v>
      </c>
      <c r="I394" s="8" t="s">
        <v>475</v>
      </c>
      <c r="J394" s="5" t="s">
        <v>18</v>
      </c>
      <c r="K394" s="6" t="s">
        <v>69</v>
      </c>
      <c r="L394" s="6" t="s">
        <v>476</v>
      </c>
      <c r="M394" s="15">
        <v>46217</v>
      </c>
      <c r="N394" s="16" t="str">
        <f>IFERROR(VLOOKUP(A394,[1]Hoja1!$A$2:$J$68,10,FALSE), " - ")</f>
        <v xml:space="preserve"> - </v>
      </c>
    </row>
    <row r="395" spans="1:14" x14ac:dyDescent="0.3">
      <c r="A395" s="5">
        <v>36360</v>
      </c>
      <c r="B395" s="5" t="s">
        <v>12</v>
      </c>
      <c r="C395" s="6" t="s">
        <v>13</v>
      </c>
      <c r="D395" s="5" t="s">
        <v>26</v>
      </c>
      <c r="E395" s="13">
        <v>46198</v>
      </c>
      <c r="F395" s="5" t="s">
        <v>15</v>
      </c>
      <c r="G395" s="6" t="s">
        <v>562</v>
      </c>
      <c r="H395" s="6" t="s">
        <v>91</v>
      </c>
      <c r="I395" s="4" t="s">
        <v>153</v>
      </c>
      <c r="J395" s="5" t="s">
        <v>18</v>
      </c>
      <c r="K395" s="6" t="s">
        <v>35</v>
      </c>
      <c r="L395" s="6" t="s">
        <v>563</v>
      </c>
      <c r="M395" s="15">
        <v>46217</v>
      </c>
      <c r="N395" s="16" t="str">
        <f>IFERROR(VLOOKUP(A395,[1]Hoja1!$A$2:$J$68,10,FALSE), " - ")</f>
        <v xml:space="preserve"> - </v>
      </c>
    </row>
    <row r="396" spans="1:14" x14ac:dyDescent="0.3">
      <c r="A396" s="5">
        <v>36360</v>
      </c>
      <c r="B396" s="5" t="s">
        <v>12</v>
      </c>
      <c r="C396" s="6" t="s">
        <v>13</v>
      </c>
      <c r="D396" s="5" t="s">
        <v>26</v>
      </c>
      <c r="E396" s="13">
        <v>46198</v>
      </c>
      <c r="F396" s="5" t="s">
        <v>15</v>
      </c>
      <c r="G396" s="6" t="s">
        <v>562</v>
      </c>
      <c r="H396" s="6" t="s">
        <v>91</v>
      </c>
      <c r="I396" s="4" t="s">
        <v>469</v>
      </c>
      <c r="J396" s="5" t="s">
        <v>18</v>
      </c>
      <c r="K396" s="6" t="s">
        <v>305</v>
      </c>
      <c r="L396" s="6" t="s">
        <v>563</v>
      </c>
      <c r="M396" s="15">
        <v>46217</v>
      </c>
      <c r="N396" s="16" t="str">
        <f>IFERROR(VLOOKUP(A396,[1]Hoja1!$A$2:$J$68,10,FALSE), " - ")</f>
        <v xml:space="preserve"> - </v>
      </c>
    </row>
    <row r="397" spans="1:14" x14ac:dyDescent="0.3">
      <c r="A397" s="2">
        <v>36362</v>
      </c>
      <c r="B397" s="2" t="s">
        <v>12</v>
      </c>
      <c r="C397" s="3" t="s">
        <v>13</v>
      </c>
      <c r="D397" s="2" t="s">
        <v>26</v>
      </c>
      <c r="E397" s="12">
        <v>46198</v>
      </c>
      <c r="F397" s="2" t="s">
        <v>27</v>
      </c>
      <c r="G397" s="3" t="s">
        <v>188</v>
      </c>
      <c r="H397" s="3" t="s">
        <v>189</v>
      </c>
      <c r="I397" s="4" t="s">
        <v>190</v>
      </c>
      <c r="J397" s="2" t="s">
        <v>18</v>
      </c>
      <c r="K397" s="3" t="s">
        <v>191</v>
      </c>
      <c r="L397" s="3" t="s">
        <v>192</v>
      </c>
      <c r="M397" s="15">
        <v>46217</v>
      </c>
      <c r="N397" s="16" t="str">
        <f>IFERROR(VLOOKUP(A397,[1]Hoja1!$A$2:$J$68,10,FALSE), " - ")</f>
        <v xml:space="preserve"> - </v>
      </c>
    </row>
    <row r="398" spans="1:14" x14ac:dyDescent="0.3">
      <c r="A398" s="5">
        <v>36362</v>
      </c>
      <c r="B398" s="5" t="s">
        <v>12</v>
      </c>
      <c r="C398" s="6" t="s">
        <v>13</v>
      </c>
      <c r="D398" s="5" t="s">
        <v>26</v>
      </c>
      <c r="E398" s="13">
        <v>46198</v>
      </c>
      <c r="F398" s="5" t="s">
        <v>27</v>
      </c>
      <c r="G398" s="6" t="s">
        <v>188</v>
      </c>
      <c r="H398" s="6" t="s">
        <v>189</v>
      </c>
      <c r="I398" s="4" t="s">
        <v>380</v>
      </c>
      <c r="J398" s="5" t="s">
        <v>18</v>
      </c>
      <c r="K398" s="6" t="s">
        <v>288</v>
      </c>
      <c r="L398" s="6" t="s">
        <v>192</v>
      </c>
      <c r="M398" s="15">
        <v>46217</v>
      </c>
      <c r="N398" s="16" t="str">
        <f>IFERROR(VLOOKUP(A398,[1]Hoja1!$A$2:$J$68,10,FALSE), " - ")</f>
        <v xml:space="preserve"> - </v>
      </c>
    </row>
    <row r="399" spans="1:14" x14ac:dyDescent="0.3">
      <c r="A399" s="2">
        <v>36362</v>
      </c>
      <c r="B399" s="2" t="s">
        <v>12</v>
      </c>
      <c r="C399" s="3" t="s">
        <v>13</v>
      </c>
      <c r="D399" s="2" t="s">
        <v>26</v>
      </c>
      <c r="E399" s="12">
        <v>46198</v>
      </c>
      <c r="F399" s="2" t="s">
        <v>27</v>
      </c>
      <c r="G399" s="3" t="s">
        <v>188</v>
      </c>
      <c r="H399" s="3" t="s">
        <v>189</v>
      </c>
      <c r="I399" s="4" t="s">
        <v>690</v>
      </c>
      <c r="J399" s="2" t="s">
        <v>18</v>
      </c>
      <c r="K399" s="3" t="s">
        <v>398</v>
      </c>
      <c r="L399" s="3" t="s">
        <v>192</v>
      </c>
      <c r="M399" s="15">
        <v>46217</v>
      </c>
      <c r="N399" s="16" t="str">
        <f>IFERROR(VLOOKUP(A399,[1]Hoja1!$A$2:$J$68,10,FALSE), " - ")</f>
        <v xml:space="preserve"> - </v>
      </c>
    </row>
    <row r="400" spans="1:14" x14ac:dyDescent="0.3">
      <c r="A400" s="2">
        <v>36362</v>
      </c>
      <c r="B400" s="2" t="s">
        <v>12</v>
      </c>
      <c r="C400" s="3" t="s">
        <v>13</v>
      </c>
      <c r="D400" s="2" t="s">
        <v>26</v>
      </c>
      <c r="E400" s="12">
        <v>46198</v>
      </c>
      <c r="F400" s="2" t="s">
        <v>27</v>
      </c>
      <c r="G400" s="3" t="s">
        <v>188</v>
      </c>
      <c r="H400" s="3" t="s">
        <v>189</v>
      </c>
      <c r="I400" s="4" t="s">
        <v>380</v>
      </c>
      <c r="J400" s="2" t="s">
        <v>18</v>
      </c>
      <c r="K400" s="3" t="s">
        <v>288</v>
      </c>
      <c r="L400" s="3" t="s">
        <v>192</v>
      </c>
      <c r="M400" s="15">
        <v>46217</v>
      </c>
      <c r="N400" s="16" t="str">
        <f>IFERROR(VLOOKUP(A400,[1]Hoja1!$A$2:$J$68,10,FALSE), " - ")</f>
        <v xml:space="preserve"> - </v>
      </c>
    </row>
    <row r="401" spans="1:14" x14ac:dyDescent="0.3">
      <c r="A401" s="2">
        <v>36363</v>
      </c>
      <c r="B401" s="2" t="s">
        <v>33</v>
      </c>
      <c r="C401" s="3" t="s">
        <v>13</v>
      </c>
      <c r="D401" s="2" t="s">
        <v>26</v>
      </c>
      <c r="E401" s="12">
        <v>46198</v>
      </c>
      <c r="F401" s="2" t="s">
        <v>27</v>
      </c>
      <c r="G401" s="3" t="s">
        <v>188</v>
      </c>
      <c r="H401" s="3" t="s">
        <v>189</v>
      </c>
      <c r="I401" s="4" t="s">
        <v>138</v>
      </c>
      <c r="J401" s="2" t="s">
        <v>18</v>
      </c>
      <c r="K401" s="3" t="s">
        <v>139</v>
      </c>
      <c r="L401" s="3" t="s">
        <v>255</v>
      </c>
      <c r="M401" s="15">
        <v>46217</v>
      </c>
      <c r="N401" s="16" t="str">
        <f>IFERROR(VLOOKUP(A401,[1]Hoja1!$A$2:$J$68,10,FALSE), " - ")</f>
        <v xml:space="preserve"> - </v>
      </c>
    </row>
    <row r="402" spans="1:14" x14ac:dyDescent="0.3">
      <c r="A402" s="5">
        <v>36364</v>
      </c>
      <c r="B402" s="5" t="s">
        <v>33</v>
      </c>
      <c r="C402" s="6" t="s">
        <v>13</v>
      </c>
      <c r="D402" s="5" t="s">
        <v>26</v>
      </c>
      <c r="E402" s="13">
        <v>46198</v>
      </c>
      <c r="F402" s="5" t="s">
        <v>27</v>
      </c>
      <c r="G402" s="6" t="s">
        <v>188</v>
      </c>
      <c r="H402" s="6" t="s">
        <v>189</v>
      </c>
      <c r="I402" s="4" t="s">
        <v>34</v>
      </c>
      <c r="J402" s="5" t="s">
        <v>18</v>
      </c>
      <c r="K402" s="6" t="s">
        <v>35</v>
      </c>
      <c r="L402" s="6" t="s">
        <v>349</v>
      </c>
      <c r="M402" s="15">
        <v>46217</v>
      </c>
      <c r="N402" s="16" t="str">
        <f>IFERROR(VLOOKUP(A402,[1]Hoja1!$A$2:$J$68,10,FALSE), " - ")</f>
        <v xml:space="preserve"> - </v>
      </c>
    </row>
    <row r="403" spans="1:14" x14ac:dyDescent="0.3">
      <c r="A403" s="2">
        <v>36366</v>
      </c>
      <c r="B403" s="2" t="s">
        <v>33</v>
      </c>
      <c r="C403" s="3" t="s">
        <v>80</v>
      </c>
      <c r="D403" s="2" t="s">
        <v>26</v>
      </c>
      <c r="E403" s="12">
        <v>46198</v>
      </c>
      <c r="F403" s="2" t="s">
        <v>27</v>
      </c>
      <c r="G403" s="3" t="s">
        <v>477</v>
      </c>
      <c r="H403" s="3" t="s">
        <v>366</v>
      </c>
      <c r="I403" s="4" t="s">
        <v>138</v>
      </c>
      <c r="J403" s="2" t="s">
        <v>18</v>
      </c>
      <c r="K403" s="3" t="s">
        <v>139</v>
      </c>
      <c r="L403" s="3" t="s">
        <v>367</v>
      </c>
      <c r="M403" s="15">
        <v>46217</v>
      </c>
      <c r="N403" s="16" t="str">
        <f>IFERROR(VLOOKUP(A403,[1]Hoja1!$A$2:$J$68,10,FALSE), " - ")</f>
        <v xml:space="preserve"> - </v>
      </c>
    </row>
    <row r="404" spans="1:14" x14ac:dyDescent="0.3">
      <c r="A404" s="5">
        <v>36367</v>
      </c>
      <c r="B404" s="5" t="s">
        <v>33</v>
      </c>
      <c r="C404" s="6" t="s">
        <v>80</v>
      </c>
      <c r="D404" s="5" t="s">
        <v>26</v>
      </c>
      <c r="E404" s="13">
        <v>46198</v>
      </c>
      <c r="F404" s="5" t="s">
        <v>27</v>
      </c>
      <c r="G404" s="6" t="s">
        <v>477</v>
      </c>
      <c r="H404" s="6" t="s">
        <v>366</v>
      </c>
      <c r="I404" s="4" t="s">
        <v>34</v>
      </c>
      <c r="J404" s="5" t="s">
        <v>18</v>
      </c>
      <c r="K404" s="6" t="s">
        <v>35</v>
      </c>
      <c r="L404" s="6" t="s">
        <v>746</v>
      </c>
      <c r="M404" s="15">
        <v>46217</v>
      </c>
      <c r="N404" s="16" t="str">
        <f>IFERROR(VLOOKUP(A404,[1]Hoja1!$A$2:$J$68,10,FALSE), " - ")</f>
        <v xml:space="preserve"> - </v>
      </c>
    </row>
    <row r="405" spans="1:14" x14ac:dyDescent="0.3">
      <c r="A405" s="2">
        <v>36368</v>
      </c>
      <c r="B405" s="2" t="s">
        <v>33</v>
      </c>
      <c r="C405" s="3" t="s">
        <v>80</v>
      </c>
      <c r="D405" s="2" t="s">
        <v>26</v>
      </c>
      <c r="E405" s="12">
        <v>46198</v>
      </c>
      <c r="F405" s="2" t="s">
        <v>27</v>
      </c>
      <c r="G405" s="3" t="s">
        <v>477</v>
      </c>
      <c r="H405" s="3" t="s">
        <v>366</v>
      </c>
      <c r="I405" s="4" t="s">
        <v>216</v>
      </c>
      <c r="J405" s="2" t="s">
        <v>18</v>
      </c>
      <c r="K405" s="3" t="s">
        <v>35</v>
      </c>
      <c r="L405" s="3" t="s">
        <v>390</v>
      </c>
      <c r="M405" s="15">
        <v>46217</v>
      </c>
      <c r="N405" s="16" t="str">
        <f>IFERROR(VLOOKUP(A405,[1]Hoja1!$A$2:$J$68,10,FALSE), " - ")</f>
        <v xml:space="preserve"> - </v>
      </c>
    </row>
    <row r="406" spans="1:14" x14ac:dyDescent="0.3">
      <c r="A406" s="2">
        <v>36373</v>
      </c>
      <c r="B406" s="2" t="s">
        <v>12</v>
      </c>
      <c r="C406" s="3" t="s">
        <v>57</v>
      </c>
      <c r="D406" s="2" t="s">
        <v>14</v>
      </c>
      <c r="E406" s="12">
        <v>46198</v>
      </c>
      <c r="F406" s="2" t="s">
        <v>15</v>
      </c>
      <c r="G406" s="3" t="s">
        <v>381</v>
      </c>
      <c r="H406" s="3" t="s">
        <v>130</v>
      </c>
      <c r="I406" s="4" t="s">
        <v>123</v>
      </c>
      <c r="J406" s="2" t="s">
        <v>18</v>
      </c>
      <c r="K406" s="3" t="s">
        <v>35</v>
      </c>
      <c r="L406" s="3" t="s">
        <v>382</v>
      </c>
      <c r="M406" s="15">
        <v>46217</v>
      </c>
      <c r="N406" s="16" t="str">
        <f>IFERROR(VLOOKUP(A406,[1]Hoja1!$A$2:$J$68,10,FALSE), " - ")</f>
        <v xml:space="preserve"> - </v>
      </c>
    </row>
    <row r="407" spans="1:14" x14ac:dyDescent="0.3">
      <c r="A407" s="5">
        <v>36373</v>
      </c>
      <c r="B407" s="5" t="s">
        <v>12</v>
      </c>
      <c r="C407" s="6" t="s">
        <v>57</v>
      </c>
      <c r="D407" s="5" t="s">
        <v>14</v>
      </c>
      <c r="E407" s="13">
        <v>46198</v>
      </c>
      <c r="F407" s="5" t="s">
        <v>15</v>
      </c>
      <c r="G407" s="6" t="s">
        <v>381</v>
      </c>
      <c r="H407" s="6" t="s">
        <v>130</v>
      </c>
      <c r="I407" s="4" t="s">
        <v>610</v>
      </c>
      <c r="J407" s="5" t="s">
        <v>18</v>
      </c>
      <c r="K407" s="6" t="s">
        <v>100</v>
      </c>
      <c r="L407" s="6" t="s">
        <v>382</v>
      </c>
      <c r="M407" s="15">
        <v>46217</v>
      </c>
      <c r="N407" s="16" t="str">
        <f>IFERROR(VLOOKUP(A407,[1]Hoja1!$A$2:$J$68,10,FALSE), " - ")</f>
        <v xml:space="preserve"> - </v>
      </c>
    </row>
    <row r="408" spans="1:14" x14ac:dyDescent="0.3">
      <c r="A408" s="2">
        <v>36373</v>
      </c>
      <c r="B408" s="2" t="s">
        <v>12</v>
      </c>
      <c r="C408" s="3" t="s">
        <v>57</v>
      </c>
      <c r="D408" s="2" t="s">
        <v>14</v>
      </c>
      <c r="E408" s="12">
        <v>46198</v>
      </c>
      <c r="F408" s="2" t="s">
        <v>15</v>
      </c>
      <c r="G408" s="3" t="s">
        <v>381</v>
      </c>
      <c r="H408" s="3" t="s">
        <v>130</v>
      </c>
      <c r="I408" s="4" t="s">
        <v>262</v>
      </c>
      <c r="J408" s="2" t="s">
        <v>18</v>
      </c>
      <c r="K408" s="3" t="s">
        <v>35</v>
      </c>
      <c r="L408" s="3" t="s">
        <v>382</v>
      </c>
      <c r="M408" s="15">
        <v>46217</v>
      </c>
      <c r="N408" s="16" t="str">
        <f>IFERROR(VLOOKUP(A408,[1]Hoja1!$A$2:$J$68,10,FALSE), " - ")</f>
        <v xml:space="preserve"> - </v>
      </c>
    </row>
    <row r="409" spans="1:14" x14ac:dyDescent="0.3">
      <c r="A409" s="5">
        <v>36373</v>
      </c>
      <c r="B409" s="5" t="s">
        <v>12</v>
      </c>
      <c r="C409" s="6" t="s">
        <v>57</v>
      </c>
      <c r="D409" s="5" t="s">
        <v>14</v>
      </c>
      <c r="E409" s="13">
        <v>46198</v>
      </c>
      <c r="F409" s="5" t="s">
        <v>15</v>
      </c>
      <c r="G409" s="6" t="s">
        <v>381</v>
      </c>
      <c r="H409" s="6" t="s">
        <v>130</v>
      </c>
      <c r="I409" s="4" t="s">
        <v>417</v>
      </c>
      <c r="J409" s="5" t="s">
        <v>18</v>
      </c>
      <c r="K409" s="6" t="s">
        <v>691</v>
      </c>
      <c r="L409" s="6" t="s">
        <v>382</v>
      </c>
      <c r="M409" s="15">
        <v>46217</v>
      </c>
      <c r="N409" s="16" t="str">
        <f>IFERROR(VLOOKUP(A409,[1]Hoja1!$A$2:$J$68,10,FALSE), " - ")</f>
        <v xml:space="preserve"> - </v>
      </c>
    </row>
    <row r="410" spans="1:14" x14ac:dyDescent="0.3">
      <c r="A410" s="5">
        <v>36377</v>
      </c>
      <c r="B410" s="5" t="s">
        <v>12</v>
      </c>
      <c r="C410" s="6" t="s">
        <v>13</v>
      </c>
      <c r="D410" s="5" t="s">
        <v>14</v>
      </c>
      <c r="E410" s="13">
        <v>46198</v>
      </c>
      <c r="F410" s="5" t="s">
        <v>15</v>
      </c>
      <c r="G410" s="6" t="s">
        <v>747</v>
      </c>
      <c r="H410" s="6" t="s">
        <v>17</v>
      </c>
      <c r="I410" s="4" t="s">
        <v>417</v>
      </c>
      <c r="J410" s="5" t="s">
        <v>18</v>
      </c>
      <c r="K410" s="6" t="s">
        <v>691</v>
      </c>
      <c r="L410" s="6" t="s">
        <v>748</v>
      </c>
      <c r="M410" s="15">
        <v>46217</v>
      </c>
      <c r="N410" s="16" t="str">
        <f>IFERROR(VLOOKUP(A410,[1]Hoja1!$A$2:$J$68,10,FALSE), " - ")</f>
        <v xml:space="preserve"> - </v>
      </c>
    </row>
    <row r="411" spans="1:14" x14ac:dyDescent="0.3">
      <c r="A411" s="5">
        <v>36528</v>
      </c>
      <c r="B411" s="5" t="s">
        <v>12</v>
      </c>
      <c r="C411" s="6" t="s">
        <v>63</v>
      </c>
      <c r="D411" s="5" t="s">
        <v>26</v>
      </c>
      <c r="E411" s="13">
        <v>46198</v>
      </c>
      <c r="F411" s="5" t="s">
        <v>27</v>
      </c>
      <c r="G411" s="6" t="s">
        <v>483</v>
      </c>
      <c r="H411" s="6" t="s">
        <v>72</v>
      </c>
      <c r="I411" s="4" t="s">
        <v>484</v>
      </c>
      <c r="J411" s="5" t="s">
        <v>18</v>
      </c>
      <c r="K411" s="6" t="s">
        <v>485</v>
      </c>
      <c r="L411" s="6" t="s">
        <v>486</v>
      </c>
      <c r="M411" s="15">
        <v>46217</v>
      </c>
      <c r="N411" s="16" t="str">
        <f>IFERROR(VLOOKUP(A411,[1]Hoja1!$A$2:$J$68,10,FALSE), " - ")</f>
        <v xml:space="preserve"> - </v>
      </c>
    </row>
    <row r="412" spans="1:14" x14ac:dyDescent="0.3">
      <c r="A412" s="5">
        <v>36529</v>
      </c>
      <c r="B412" s="5" t="s">
        <v>33</v>
      </c>
      <c r="C412" s="6" t="s">
        <v>63</v>
      </c>
      <c r="D412" s="5" t="s">
        <v>26</v>
      </c>
      <c r="E412" s="13">
        <v>46198</v>
      </c>
      <c r="F412" s="5" t="s">
        <v>27</v>
      </c>
      <c r="G412" s="6" t="s">
        <v>572</v>
      </c>
      <c r="H412" s="6" t="s">
        <v>341</v>
      </c>
      <c r="I412" s="4" t="s">
        <v>138</v>
      </c>
      <c r="J412" s="5" t="s">
        <v>18</v>
      </c>
      <c r="K412" s="6" t="s">
        <v>139</v>
      </c>
      <c r="L412" s="6" t="s">
        <v>573</v>
      </c>
      <c r="M412" s="15">
        <v>46217</v>
      </c>
      <c r="N412" s="16" t="str">
        <f>IFERROR(VLOOKUP(A412,[1]Hoja1!$A$2:$J$68,10,FALSE), " - ")</f>
        <v xml:space="preserve"> - </v>
      </c>
    </row>
    <row r="413" spans="1:14" x14ac:dyDescent="0.3">
      <c r="A413" s="5">
        <v>36604</v>
      </c>
      <c r="B413" s="5" t="s">
        <v>12</v>
      </c>
      <c r="C413" s="6" t="s">
        <v>57</v>
      </c>
      <c r="D413" s="5" t="s">
        <v>14</v>
      </c>
      <c r="E413" s="13">
        <v>46198</v>
      </c>
      <c r="F413" s="5" t="s">
        <v>15</v>
      </c>
      <c r="G413" s="6" t="s">
        <v>756</v>
      </c>
      <c r="H413" s="6" t="s">
        <v>17</v>
      </c>
      <c r="I413" s="8" t="s">
        <v>757</v>
      </c>
      <c r="J413" s="5" t="s">
        <v>18</v>
      </c>
      <c r="K413" s="6" t="s">
        <v>69</v>
      </c>
      <c r="L413" s="6" t="s">
        <v>758</v>
      </c>
      <c r="M413" s="15">
        <v>46217</v>
      </c>
      <c r="N413" s="16" t="str">
        <f>IFERROR(VLOOKUP(A413,[1]Hoja1!$A$2:$J$68,10,FALSE), " - ")</f>
        <v xml:space="preserve"> - </v>
      </c>
    </row>
    <row r="414" spans="1:14" x14ac:dyDescent="0.3">
      <c r="A414" s="5">
        <v>36705</v>
      </c>
      <c r="B414" s="5" t="s">
        <v>12</v>
      </c>
      <c r="C414" s="6" t="s">
        <v>63</v>
      </c>
      <c r="D414" s="5" t="s">
        <v>14</v>
      </c>
      <c r="E414" s="13">
        <v>46198</v>
      </c>
      <c r="F414" s="5" t="s">
        <v>15</v>
      </c>
      <c r="G414" s="6" t="s">
        <v>841</v>
      </c>
      <c r="H414" s="6" t="s">
        <v>29</v>
      </c>
      <c r="I414" s="4" t="s">
        <v>216</v>
      </c>
      <c r="J414" s="5" t="s">
        <v>61</v>
      </c>
      <c r="K414" s="6" t="s">
        <v>842</v>
      </c>
      <c r="L414" s="6" t="s">
        <v>843</v>
      </c>
      <c r="M414" s="15">
        <v>46217</v>
      </c>
      <c r="N414" s="16" t="str">
        <f>IFERROR(VLOOKUP(A414,[1]Hoja1!$A$2:$J$68,10,FALSE), " - ")</f>
        <v xml:space="preserve"> - </v>
      </c>
    </row>
    <row r="415" spans="1:14" x14ac:dyDescent="0.3">
      <c r="A415" s="5">
        <v>36768</v>
      </c>
      <c r="B415" s="5" t="s">
        <v>12</v>
      </c>
      <c r="C415" s="6" t="s">
        <v>57</v>
      </c>
      <c r="D415" s="5" t="s">
        <v>14</v>
      </c>
      <c r="E415" s="13">
        <v>46198</v>
      </c>
      <c r="F415" s="5" t="s">
        <v>15</v>
      </c>
      <c r="G415" s="6" t="s">
        <v>193</v>
      </c>
      <c r="H415" s="6" t="s">
        <v>17</v>
      </c>
      <c r="I415" s="7" t="s">
        <v>60</v>
      </c>
      <c r="J415" s="5" t="s">
        <v>61</v>
      </c>
      <c r="K415" s="6" t="s">
        <v>31</v>
      </c>
      <c r="L415" s="6" t="s">
        <v>32</v>
      </c>
      <c r="M415" s="15">
        <v>46217</v>
      </c>
      <c r="N415" s="16" t="str">
        <f>IFERROR(VLOOKUP(A415,[1]Hoja1!$A$2:$J$68,10,FALSE), " - ")</f>
        <v xml:space="preserve"> - </v>
      </c>
    </row>
    <row r="416" spans="1:14" x14ac:dyDescent="0.3">
      <c r="A416" s="5">
        <v>36769</v>
      </c>
      <c r="B416" s="5" t="s">
        <v>12</v>
      </c>
      <c r="C416" s="6" t="s">
        <v>57</v>
      </c>
      <c r="D416" s="5" t="s">
        <v>14</v>
      </c>
      <c r="E416" s="13">
        <v>46198</v>
      </c>
      <c r="F416" s="5" t="s">
        <v>15</v>
      </c>
      <c r="G416" s="6" t="s">
        <v>316</v>
      </c>
      <c r="H416" s="6" t="s">
        <v>38</v>
      </c>
      <c r="I416" s="7" t="s">
        <v>60</v>
      </c>
      <c r="J416" s="5" t="s">
        <v>61</v>
      </c>
      <c r="K416" s="6" t="s">
        <v>31</v>
      </c>
      <c r="L416" s="6" t="s">
        <v>32</v>
      </c>
      <c r="M416" s="15">
        <v>46217</v>
      </c>
      <c r="N416" s="16" t="str">
        <f>IFERROR(VLOOKUP(A416,[1]Hoja1!$A$2:$J$68,10,FALSE), " - ")</f>
        <v xml:space="preserve"> - </v>
      </c>
    </row>
    <row r="417" spans="1:14" x14ac:dyDescent="0.3">
      <c r="A417" s="5">
        <v>36770</v>
      </c>
      <c r="B417" s="5" t="s">
        <v>12</v>
      </c>
      <c r="C417" s="6" t="s">
        <v>57</v>
      </c>
      <c r="D417" s="5" t="s">
        <v>14</v>
      </c>
      <c r="E417" s="13">
        <v>46198</v>
      </c>
      <c r="F417" s="5" t="s">
        <v>15</v>
      </c>
      <c r="G417" s="6" t="s">
        <v>261</v>
      </c>
      <c r="H417" s="6" t="s">
        <v>38</v>
      </c>
      <c r="I417" s="7" t="s">
        <v>60</v>
      </c>
      <c r="J417" s="5" t="s">
        <v>61</v>
      </c>
      <c r="K417" s="6" t="s">
        <v>31</v>
      </c>
      <c r="L417" s="6" t="s">
        <v>32</v>
      </c>
      <c r="M417" s="15">
        <v>46217</v>
      </c>
      <c r="N417" s="16" t="str">
        <f>IFERROR(VLOOKUP(A417,[1]Hoja1!$A$2:$J$68,10,FALSE), " - ")</f>
        <v xml:space="preserve"> - </v>
      </c>
    </row>
    <row r="418" spans="1:14" x14ac:dyDescent="0.3">
      <c r="A418" s="5">
        <v>36771</v>
      </c>
      <c r="B418" s="5" t="s">
        <v>12</v>
      </c>
      <c r="C418" s="6" t="s">
        <v>57</v>
      </c>
      <c r="D418" s="5" t="s">
        <v>14</v>
      </c>
      <c r="E418" s="13">
        <v>46198</v>
      </c>
      <c r="F418" s="5" t="s">
        <v>15</v>
      </c>
      <c r="G418" s="6" t="s">
        <v>478</v>
      </c>
      <c r="H418" s="6" t="s">
        <v>38</v>
      </c>
      <c r="I418" s="7" t="s">
        <v>60</v>
      </c>
      <c r="J418" s="5" t="s">
        <v>61</v>
      </c>
      <c r="K418" s="6" t="s">
        <v>31</v>
      </c>
      <c r="L418" s="6" t="s">
        <v>32</v>
      </c>
      <c r="M418" s="15">
        <v>46217</v>
      </c>
      <c r="N418" s="16" t="str">
        <f>IFERROR(VLOOKUP(A418,[1]Hoja1!$A$2:$J$68,10,FALSE), " - ")</f>
        <v xml:space="preserve"> - </v>
      </c>
    </row>
    <row r="419" spans="1:14" x14ac:dyDescent="0.3">
      <c r="A419" s="2">
        <v>36772</v>
      </c>
      <c r="B419" s="2" t="s">
        <v>12</v>
      </c>
      <c r="C419" s="3" t="s">
        <v>57</v>
      </c>
      <c r="D419" s="2" t="s">
        <v>14</v>
      </c>
      <c r="E419" s="12">
        <v>46198</v>
      </c>
      <c r="F419" s="2" t="s">
        <v>15</v>
      </c>
      <c r="G419" s="3" t="s">
        <v>564</v>
      </c>
      <c r="H419" s="3" t="s">
        <v>38</v>
      </c>
      <c r="I419" s="7" t="s">
        <v>60</v>
      </c>
      <c r="J419" s="2" t="s">
        <v>61</v>
      </c>
      <c r="K419" s="3" t="s">
        <v>31</v>
      </c>
      <c r="L419" s="3" t="s">
        <v>32</v>
      </c>
      <c r="M419" s="15">
        <v>46217</v>
      </c>
      <c r="N419" s="16" t="str">
        <f>IFERROR(VLOOKUP(A419,[1]Hoja1!$A$2:$J$68,10,FALSE), " - ")</f>
        <v xml:space="preserve"> - </v>
      </c>
    </row>
    <row r="420" spans="1:14" x14ac:dyDescent="0.3">
      <c r="A420" s="5">
        <v>36773</v>
      </c>
      <c r="B420" s="5" t="s">
        <v>12</v>
      </c>
      <c r="C420" s="6" t="s">
        <v>57</v>
      </c>
      <c r="D420" s="5" t="s">
        <v>14</v>
      </c>
      <c r="E420" s="13">
        <v>46198</v>
      </c>
      <c r="F420" s="5" t="s">
        <v>15</v>
      </c>
      <c r="G420" s="6" t="s">
        <v>383</v>
      </c>
      <c r="H420" s="6" t="s">
        <v>38</v>
      </c>
      <c r="I420" s="7" t="s">
        <v>60</v>
      </c>
      <c r="J420" s="5" t="s">
        <v>61</v>
      </c>
      <c r="K420" s="6" t="s">
        <v>31</v>
      </c>
      <c r="L420" s="6" t="s">
        <v>32</v>
      </c>
      <c r="M420" s="15">
        <v>46217</v>
      </c>
      <c r="N420" s="16" t="str">
        <f>IFERROR(VLOOKUP(A420,[1]Hoja1!$A$2:$J$68,10,FALSE), " - ")</f>
        <v xml:space="preserve"> - </v>
      </c>
    </row>
    <row r="421" spans="1:14" x14ac:dyDescent="0.3">
      <c r="A421" s="2">
        <v>36774</v>
      </c>
      <c r="B421" s="2" t="s">
        <v>12</v>
      </c>
      <c r="C421" s="3" t="s">
        <v>57</v>
      </c>
      <c r="D421" s="2" t="s">
        <v>14</v>
      </c>
      <c r="E421" s="12">
        <v>46198</v>
      </c>
      <c r="F421" s="2" t="s">
        <v>15</v>
      </c>
      <c r="G421" s="3" t="s">
        <v>159</v>
      </c>
      <c r="H421" s="3" t="s">
        <v>38</v>
      </c>
      <c r="I421" s="7" t="s">
        <v>60</v>
      </c>
      <c r="J421" s="2" t="s">
        <v>61</v>
      </c>
      <c r="K421" s="3" t="s">
        <v>31</v>
      </c>
      <c r="L421" s="3" t="s">
        <v>32</v>
      </c>
      <c r="M421" s="15">
        <v>46217</v>
      </c>
      <c r="N421" s="16" t="str">
        <f>IFERROR(VLOOKUP(A421,[1]Hoja1!$A$2:$J$68,10,FALSE), " - ")</f>
        <v xml:space="preserve"> - </v>
      </c>
    </row>
    <row r="422" spans="1:14" x14ac:dyDescent="0.3">
      <c r="A422" s="2">
        <v>36775</v>
      </c>
      <c r="B422" s="2" t="s">
        <v>12</v>
      </c>
      <c r="C422" s="3" t="s">
        <v>57</v>
      </c>
      <c r="D422" s="2" t="s">
        <v>14</v>
      </c>
      <c r="E422" s="12">
        <v>46198</v>
      </c>
      <c r="F422" s="2" t="s">
        <v>15</v>
      </c>
      <c r="G422" s="3" t="s">
        <v>448</v>
      </c>
      <c r="H422" s="3" t="s">
        <v>17</v>
      </c>
      <c r="I422" s="7" t="s">
        <v>60</v>
      </c>
      <c r="J422" s="2" t="s">
        <v>61</v>
      </c>
      <c r="K422" s="3" t="s">
        <v>31</v>
      </c>
      <c r="L422" s="3" t="s">
        <v>32</v>
      </c>
      <c r="M422" s="15">
        <v>46217</v>
      </c>
      <c r="N422" s="16" t="str">
        <f>IFERROR(VLOOKUP(A422,[1]Hoja1!$A$2:$J$68,10,FALSE), " - ")</f>
        <v xml:space="preserve"> - </v>
      </c>
    </row>
    <row r="423" spans="1:14" x14ac:dyDescent="0.3">
      <c r="A423" s="2">
        <v>36776</v>
      </c>
      <c r="B423" s="2" t="s">
        <v>12</v>
      </c>
      <c r="C423" s="3" t="s">
        <v>57</v>
      </c>
      <c r="D423" s="2" t="s">
        <v>14</v>
      </c>
      <c r="E423" s="12">
        <v>46198</v>
      </c>
      <c r="F423" s="2" t="s">
        <v>15</v>
      </c>
      <c r="G423" s="3" t="s">
        <v>109</v>
      </c>
      <c r="H423" s="3" t="s">
        <v>17</v>
      </c>
      <c r="I423" s="7" t="s">
        <v>60</v>
      </c>
      <c r="J423" s="2" t="s">
        <v>61</v>
      </c>
      <c r="K423" s="3" t="s">
        <v>31</v>
      </c>
      <c r="L423" s="3" t="s">
        <v>32</v>
      </c>
      <c r="M423" s="15">
        <v>46217</v>
      </c>
      <c r="N423" s="16" t="str">
        <f>IFERROR(VLOOKUP(A423,[1]Hoja1!$A$2:$J$68,10,FALSE), " - ")</f>
        <v xml:space="preserve"> - </v>
      </c>
    </row>
    <row r="424" spans="1:14" x14ac:dyDescent="0.3">
      <c r="A424" s="5">
        <v>36777</v>
      </c>
      <c r="B424" s="5" t="s">
        <v>12</v>
      </c>
      <c r="C424" s="6" t="s">
        <v>57</v>
      </c>
      <c r="D424" s="5" t="s">
        <v>14</v>
      </c>
      <c r="E424" s="13">
        <v>46198</v>
      </c>
      <c r="F424" s="5" t="s">
        <v>15</v>
      </c>
      <c r="G424" s="6" t="s">
        <v>798</v>
      </c>
      <c r="H424" s="6" t="s">
        <v>17</v>
      </c>
      <c r="I424" s="7" t="s">
        <v>60</v>
      </c>
      <c r="J424" s="5" t="s">
        <v>61</v>
      </c>
      <c r="K424" s="6" t="s">
        <v>31</v>
      </c>
      <c r="L424" s="6" t="s">
        <v>32</v>
      </c>
      <c r="M424" s="15">
        <v>46217</v>
      </c>
      <c r="N424" s="16" t="str">
        <f>IFERROR(VLOOKUP(A424,[1]Hoja1!$A$2:$J$68,10,FALSE), " - ")</f>
        <v xml:space="preserve"> - </v>
      </c>
    </row>
    <row r="425" spans="1:14" x14ac:dyDescent="0.3">
      <c r="A425" s="5">
        <v>36778</v>
      </c>
      <c r="B425" s="5" t="s">
        <v>12</v>
      </c>
      <c r="C425" s="6" t="s">
        <v>57</v>
      </c>
      <c r="D425" s="5" t="s">
        <v>14</v>
      </c>
      <c r="E425" s="13">
        <v>46198</v>
      </c>
      <c r="F425" s="5" t="s">
        <v>15</v>
      </c>
      <c r="G425" s="6" t="s">
        <v>854</v>
      </c>
      <c r="H425" s="6" t="s">
        <v>17</v>
      </c>
      <c r="I425" s="7" t="s">
        <v>60</v>
      </c>
      <c r="J425" s="5" t="s">
        <v>61</v>
      </c>
      <c r="K425" s="6" t="s">
        <v>31</v>
      </c>
      <c r="L425" s="6" t="s">
        <v>32</v>
      </c>
      <c r="M425" s="15">
        <v>46217</v>
      </c>
      <c r="N425" s="16" t="str">
        <f>IFERROR(VLOOKUP(A425,[1]Hoja1!$A$2:$J$68,10,FALSE), " - ")</f>
        <v xml:space="preserve"> - </v>
      </c>
    </row>
    <row r="426" spans="1:14" x14ac:dyDescent="0.3">
      <c r="A426" s="2">
        <v>36779</v>
      </c>
      <c r="B426" s="2" t="s">
        <v>12</v>
      </c>
      <c r="C426" s="3" t="s">
        <v>57</v>
      </c>
      <c r="D426" s="2" t="s">
        <v>14</v>
      </c>
      <c r="E426" s="12">
        <v>46198</v>
      </c>
      <c r="F426" s="2" t="s">
        <v>15</v>
      </c>
      <c r="G426" s="3" t="s">
        <v>58</v>
      </c>
      <c r="H426" s="3" t="s">
        <v>59</v>
      </c>
      <c r="I426" s="7" t="s">
        <v>60</v>
      </c>
      <c r="J426" s="2" t="s">
        <v>61</v>
      </c>
      <c r="K426" s="3" t="s">
        <v>31</v>
      </c>
      <c r="L426" s="3" t="s">
        <v>32</v>
      </c>
      <c r="M426" s="15">
        <v>46217</v>
      </c>
      <c r="N426" s="16" t="str">
        <f>IFERROR(VLOOKUP(A426,[1]Hoja1!$A$2:$J$68,10,FALSE), " - ")</f>
        <v xml:space="preserve"> - </v>
      </c>
    </row>
    <row r="427" spans="1:14" x14ac:dyDescent="0.3">
      <c r="A427" s="2">
        <v>36780</v>
      </c>
      <c r="B427" s="2" t="s">
        <v>12</v>
      </c>
      <c r="C427" s="3" t="s">
        <v>57</v>
      </c>
      <c r="D427" s="2" t="s">
        <v>14</v>
      </c>
      <c r="E427" s="12">
        <v>46198</v>
      </c>
      <c r="F427" s="2" t="s">
        <v>15</v>
      </c>
      <c r="G427" s="3" t="s">
        <v>194</v>
      </c>
      <c r="H427" s="3" t="s">
        <v>59</v>
      </c>
      <c r="I427" s="7" t="s">
        <v>60</v>
      </c>
      <c r="J427" s="2" t="s">
        <v>61</v>
      </c>
      <c r="K427" s="3" t="s">
        <v>31</v>
      </c>
      <c r="L427" s="3" t="s">
        <v>32</v>
      </c>
      <c r="M427" s="15">
        <v>46217</v>
      </c>
      <c r="N427" s="16" t="str">
        <f>IFERROR(VLOOKUP(A427,[1]Hoja1!$A$2:$J$68,10,FALSE), " - ")</f>
        <v xml:space="preserve"> - </v>
      </c>
    </row>
    <row r="428" spans="1:14" x14ac:dyDescent="0.3">
      <c r="A428" s="2">
        <v>36814</v>
      </c>
      <c r="B428" s="2" t="s">
        <v>12</v>
      </c>
      <c r="C428" s="3" t="s">
        <v>57</v>
      </c>
      <c r="D428" s="2" t="s">
        <v>14</v>
      </c>
      <c r="E428" s="12">
        <v>46198</v>
      </c>
      <c r="F428" s="2" t="s">
        <v>15</v>
      </c>
      <c r="G428" s="3" t="s">
        <v>383</v>
      </c>
      <c r="H428" s="3" t="s">
        <v>38</v>
      </c>
      <c r="I428" s="8" t="s">
        <v>307</v>
      </c>
      <c r="J428" s="2" t="s">
        <v>18</v>
      </c>
      <c r="K428" s="3" t="s">
        <v>69</v>
      </c>
      <c r="L428" s="3" t="s">
        <v>70</v>
      </c>
      <c r="M428" s="15">
        <v>46217</v>
      </c>
      <c r="N428" s="16" t="str">
        <f>IFERROR(VLOOKUP(A428,[1]Hoja1!$A$2:$J$68,10,FALSE), " - ")</f>
        <v xml:space="preserve"> - </v>
      </c>
    </row>
    <row r="429" spans="1:14" x14ac:dyDescent="0.3">
      <c r="A429" s="5">
        <v>36816</v>
      </c>
      <c r="B429" s="5" t="s">
        <v>12</v>
      </c>
      <c r="C429" s="6" t="s">
        <v>57</v>
      </c>
      <c r="D429" s="5" t="s">
        <v>14</v>
      </c>
      <c r="E429" s="13">
        <v>46198</v>
      </c>
      <c r="F429" s="5" t="s">
        <v>15</v>
      </c>
      <c r="G429" s="6" t="s">
        <v>220</v>
      </c>
      <c r="H429" s="6" t="s">
        <v>189</v>
      </c>
      <c r="I429" s="8" t="s">
        <v>417</v>
      </c>
      <c r="J429" s="5" t="s">
        <v>18</v>
      </c>
      <c r="K429" s="6" t="s">
        <v>69</v>
      </c>
      <c r="L429" s="6" t="s">
        <v>749</v>
      </c>
      <c r="M429" s="15">
        <v>46217</v>
      </c>
      <c r="N429" s="16" t="str">
        <f>IFERROR(VLOOKUP(A429,[1]Hoja1!$A$2:$J$68,10,FALSE), " - ")</f>
        <v xml:space="preserve"> - </v>
      </c>
    </row>
    <row r="430" spans="1:14" x14ac:dyDescent="0.3">
      <c r="A430" s="2">
        <v>36817</v>
      </c>
      <c r="B430" s="2" t="s">
        <v>12</v>
      </c>
      <c r="C430" s="3" t="s">
        <v>57</v>
      </c>
      <c r="D430" s="2" t="s">
        <v>14</v>
      </c>
      <c r="E430" s="12">
        <v>46198</v>
      </c>
      <c r="F430" s="2" t="s">
        <v>15</v>
      </c>
      <c r="G430" s="3" t="s">
        <v>193</v>
      </c>
      <c r="H430" s="3" t="s">
        <v>17</v>
      </c>
      <c r="I430" s="7" t="s">
        <v>317</v>
      </c>
      <c r="J430" s="2" t="s">
        <v>61</v>
      </c>
      <c r="K430" s="3" t="s">
        <v>31</v>
      </c>
      <c r="L430" s="3" t="s">
        <v>32</v>
      </c>
      <c r="M430" s="15">
        <v>46217</v>
      </c>
      <c r="N430" s="16" t="str">
        <f>IFERROR(VLOOKUP(A430,[1]Hoja1!$A$2:$J$68,10,FALSE), " - ")</f>
        <v xml:space="preserve"> - </v>
      </c>
    </row>
    <row r="431" spans="1:14" x14ac:dyDescent="0.3">
      <c r="A431" s="2">
        <v>36472</v>
      </c>
      <c r="B431" s="2" t="s">
        <v>12</v>
      </c>
      <c r="C431" s="3" t="s">
        <v>13</v>
      </c>
      <c r="D431" s="2" t="s">
        <v>26</v>
      </c>
      <c r="E431" s="12">
        <v>46199</v>
      </c>
      <c r="F431" s="2" t="s">
        <v>15</v>
      </c>
      <c r="G431" s="3" t="s">
        <v>508</v>
      </c>
      <c r="H431" s="3" t="s">
        <v>237</v>
      </c>
      <c r="I431" s="4" t="s">
        <v>799</v>
      </c>
      <c r="J431" s="2" t="s">
        <v>18</v>
      </c>
      <c r="K431" s="3" t="s">
        <v>74</v>
      </c>
      <c r="L431" s="3" t="s">
        <v>800</v>
      </c>
      <c r="M431" s="15">
        <v>46217</v>
      </c>
      <c r="N431" s="16" t="str">
        <f>IFERROR(VLOOKUP(A431,[1]Hoja1!$A$2:$J$68,10,FALSE), " - ")</f>
        <v xml:space="preserve"> - </v>
      </c>
    </row>
    <row r="432" spans="1:14" x14ac:dyDescent="0.3">
      <c r="A432" s="5">
        <v>36473</v>
      </c>
      <c r="B432" s="5" t="s">
        <v>12</v>
      </c>
      <c r="C432" s="6" t="s">
        <v>13</v>
      </c>
      <c r="D432" s="5" t="s">
        <v>14</v>
      </c>
      <c r="E432" s="13">
        <v>46199</v>
      </c>
      <c r="F432" s="5" t="s">
        <v>15</v>
      </c>
      <c r="G432" s="6" t="s">
        <v>205</v>
      </c>
      <c r="H432" s="6" t="s">
        <v>47</v>
      </c>
      <c r="I432" s="4" t="s">
        <v>459</v>
      </c>
      <c r="J432" s="5" t="s">
        <v>18</v>
      </c>
      <c r="K432" s="6" t="s">
        <v>35</v>
      </c>
      <c r="L432" s="6" t="s">
        <v>696</v>
      </c>
      <c r="M432" s="15">
        <v>46217</v>
      </c>
      <c r="N432" s="16" t="str">
        <f>IFERROR(VLOOKUP(A432,[1]Hoja1!$A$2:$J$68,10,FALSE), " - ")</f>
        <v xml:space="preserve"> - </v>
      </c>
    </row>
    <row r="433" spans="1:14" x14ac:dyDescent="0.3">
      <c r="A433" s="5">
        <v>36473</v>
      </c>
      <c r="B433" s="5" t="s">
        <v>12</v>
      </c>
      <c r="C433" s="6" t="s">
        <v>13</v>
      </c>
      <c r="D433" s="5" t="s">
        <v>14</v>
      </c>
      <c r="E433" s="13">
        <v>46199</v>
      </c>
      <c r="F433" s="5" t="s">
        <v>15</v>
      </c>
      <c r="G433" s="6" t="s">
        <v>205</v>
      </c>
      <c r="H433" s="6" t="s">
        <v>47</v>
      </c>
      <c r="I433" s="4" t="s">
        <v>671</v>
      </c>
      <c r="J433" s="5" t="s">
        <v>18</v>
      </c>
      <c r="K433" s="6" t="s">
        <v>672</v>
      </c>
      <c r="L433" s="6" t="s">
        <v>696</v>
      </c>
      <c r="M433" s="15">
        <v>46217</v>
      </c>
      <c r="N433" s="16" t="str">
        <f>IFERROR(VLOOKUP(A433,[1]Hoja1!$A$2:$J$68,10,FALSE), " - ")</f>
        <v xml:space="preserve"> - </v>
      </c>
    </row>
    <row r="434" spans="1:14" x14ac:dyDescent="0.3">
      <c r="A434" s="2">
        <v>36474</v>
      </c>
      <c r="B434" s="2" t="s">
        <v>33</v>
      </c>
      <c r="C434" s="3" t="s">
        <v>13</v>
      </c>
      <c r="D434" s="2" t="s">
        <v>26</v>
      </c>
      <c r="E434" s="12">
        <v>46199</v>
      </c>
      <c r="F434" s="2" t="s">
        <v>15</v>
      </c>
      <c r="G434" s="3" t="s">
        <v>205</v>
      </c>
      <c r="H434" s="3" t="s">
        <v>47</v>
      </c>
      <c r="I434" s="4" t="s">
        <v>138</v>
      </c>
      <c r="J434" s="2" t="s">
        <v>18</v>
      </c>
      <c r="K434" s="3" t="s">
        <v>139</v>
      </c>
      <c r="L434" s="3" t="s">
        <v>367</v>
      </c>
      <c r="M434" s="15">
        <v>46217</v>
      </c>
      <c r="N434" s="16" t="str">
        <f>IFERROR(VLOOKUP(A434,[1]Hoja1!$A$2:$J$68,10,FALSE), " - ")</f>
        <v xml:space="preserve"> - </v>
      </c>
    </row>
    <row r="435" spans="1:14" x14ac:dyDescent="0.3">
      <c r="A435" s="5">
        <v>36475</v>
      </c>
      <c r="B435" s="5" t="s">
        <v>33</v>
      </c>
      <c r="C435" s="6" t="s">
        <v>13</v>
      </c>
      <c r="D435" s="5" t="s">
        <v>26</v>
      </c>
      <c r="E435" s="13">
        <v>46199</v>
      </c>
      <c r="F435" s="5" t="s">
        <v>15</v>
      </c>
      <c r="G435" s="6" t="s">
        <v>205</v>
      </c>
      <c r="H435" s="6" t="s">
        <v>47</v>
      </c>
      <c r="I435" s="4" t="s">
        <v>34</v>
      </c>
      <c r="J435" s="5" t="s">
        <v>18</v>
      </c>
      <c r="K435" s="6" t="s">
        <v>35</v>
      </c>
      <c r="L435" s="6" t="s">
        <v>48</v>
      </c>
      <c r="M435" s="15">
        <v>46217</v>
      </c>
      <c r="N435" s="16" t="str">
        <f>IFERROR(VLOOKUP(A435,[1]Hoja1!$A$2:$J$68,10,FALSE), " - ")</f>
        <v xml:space="preserve"> - </v>
      </c>
    </row>
    <row r="436" spans="1:14" x14ac:dyDescent="0.3">
      <c r="A436" s="2">
        <v>36477</v>
      </c>
      <c r="B436" s="2" t="s">
        <v>33</v>
      </c>
      <c r="C436" s="3" t="s">
        <v>13</v>
      </c>
      <c r="D436" s="2" t="s">
        <v>26</v>
      </c>
      <c r="E436" s="12">
        <v>46199</v>
      </c>
      <c r="F436" s="2" t="s">
        <v>15</v>
      </c>
      <c r="G436" s="3" t="s">
        <v>205</v>
      </c>
      <c r="H436" s="3" t="s">
        <v>47</v>
      </c>
      <c r="I436" s="4" t="s">
        <v>216</v>
      </c>
      <c r="J436" s="2" t="s">
        <v>18</v>
      </c>
      <c r="K436" s="3" t="s">
        <v>35</v>
      </c>
      <c r="L436" s="3" t="s">
        <v>390</v>
      </c>
      <c r="M436" s="15">
        <v>46217</v>
      </c>
      <c r="N436" s="16" t="str">
        <f>IFERROR(VLOOKUP(A436,[1]Hoja1!$A$2:$J$68,10,FALSE), " - ")</f>
        <v xml:space="preserve"> - </v>
      </c>
    </row>
    <row r="437" spans="1:14" x14ac:dyDescent="0.3">
      <c r="A437" s="2">
        <v>36478</v>
      </c>
      <c r="B437" s="2" t="s">
        <v>12</v>
      </c>
      <c r="C437" s="3" t="s">
        <v>13</v>
      </c>
      <c r="D437" s="2" t="s">
        <v>26</v>
      </c>
      <c r="E437" s="12">
        <v>46199</v>
      </c>
      <c r="F437" s="2" t="s">
        <v>15</v>
      </c>
      <c r="G437" s="3" t="s">
        <v>479</v>
      </c>
      <c r="H437" s="3" t="s">
        <v>196</v>
      </c>
      <c r="I437" s="4" t="s">
        <v>344</v>
      </c>
      <c r="J437" s="2" t="s">
        <v>18</v>
      </c>
      <c r="K437" s="3" t="s">
        <v>345</v>
      </c>
      <c r="L437" s="3" t="s">
        <v>480</v>
      </c>
      <c r="M437" s="15">
        <v>46217</v>
      </c>
      <c r="N437" s="16" t="str">
        <f>IFERROR(VLOOKUP(A437,[1]Hoja1!$A$2:$J$68,10,FALSE), " - ")</f>
        <v xml:space="preserve"> - </v>
      </c>
    </row>
    <row r="438" spans="1:14" x14ac:dyDescent="0.3">
      <c r="A438" s="5">
        <v>36609</v>
      </c>
      <c r="B438" s="5" t="s">
        <v>12</v>
      </c>
      <c r="C438" s="6" t="s">
        <v>57</v>
      </c>
      <c r="D438" s="5" t="s">
        <v>14</v>
      </c>
      <c r="E438" s="13">
        <v>46199</v>
      </c>
      <c r="F438" s="5" t="s">
        <v>15</v>
      </c>
      <c r="G438" s="6" t="s">
        <v>802</v>
      </c>
      <c r="H438" s="6" t="s">
        <v>77</v>
      </c>
      <c r="I438" s="8" t="s">
        <v>307</v>
      </c>
      <c r="J438" s="5" t="s">
        <v>18</v>
      </c>
      <c r="K438" s="6" t="s">
        <v>69</v>
      </c>
      <c r="L438" s="6" t="s">
        <v>803</v>
      </c>
      <c r="M438" s="15">
        <v>46217</v>
      </c>
      <c r="N438" s="16" t="str">
        <f>IFERROR(VLOOKUP(A438,[1]Hoja1!$A$2:$J$68,10,FALSE), " - ")</f>
        <v xml:space="preserve"> - </v>
      </c>
    </row>
    <row r="439" spans="1:14" x14ac:dyDescent="0.3">
      <c r="A439" s="2">
        <v>36614</v>
      </c>
      <c r="B439" s="2" t="s">
        <v>12</v>
      </c>
      <c r="C439" s="3" t="s">
        <v>57</v>
      </c>
      <c r="D439" s="2" t="s">
        <v>14</v>
      </c>
      <c r="E439" s="12">
        <v>46199</v>
      </c>
      <c r="F439" s="2" t="s">
        <v>15</v>
      </c>
      <c r="G439" s="3" t="s">
        <v>508</v>
      </c>
      <c r="H439" s="3" t="s">
        <v>237</v>
      </c>
      <c r="I439" s="8" t="s">
        <v>238</v>
      </c>
      <c r="J439" s="2" t="s">
        <v>18</v>
      </c>
      <c r="K439" s="3" t="s">
        <v>69</v>
      </c>
      <c r="L439" s="3" t="s">
        <v>759</v>
      </c>
      <c r="M439" s="15">
        <v>46217</v>
      </c>
      <c r="N439" s="16" t="str">
        <f>IFERROR(VLOOKUP(A439,[1]Hoja1!$A$2:$J$68,10,FALSE), " - ")</f>
        <v xml:space="preserve"> - </v>
      </c>
    </row>
    <row r="440" spans="1:14" x14ac:dyDescent="0.3">
      <c r="A440" s="2">
        <v>36614</v>
      </c>
      <c r="B440" s="2" t="s">
        <v>12</v>
      </c>
      <c r="C440" s="3" t="s">
        <v>57</v>
      </c>
      <c r="D440" s="2" t="s">
        <v>14</v>
      </c>
      <c r="E440" s="12">
        <v>46199</v>
      </c>
      <c r="F440" s="2" t="s">
        <v>15</v>
      </c>
      <c r="G440" s="3" t="s">
        <v>508</v>
      </c>
      <c r="H440" s="3" t="s">
        <v>237</v>
      </c>
      <c r="I440" s="8" t="s">
        <v>460</v>
      </c>
      <c r="J440" s="2" t="s">
        <v>18</v>
      </c>
      <c r="K440" s="3" t="s">
        <v>69</v>
      </c>
      <c r="L440" s="3" t="s">
        <v>759</v>
      </c>
      <c r="M440" s="15">
        <v>46217</v>
      </c>
      <c r="N440" s="16" t="str">
        <f>IFERROR(VLOOKUP(A440,[1]Hoja1!$A$2:$J$68,10,FALSE), " - ")</f>
        <v xml:space="preserve"> - </v>
      </c>
    </row>
    <row r="441" spans="1:14" x14ac:dyDescent="0.3">
      <c r="A441" s="2">
        <v>36488</v>
      </c>
      <c r="B441" s="2" t="s">
        <v>12</v>
      </c>
      <c r="C441" s="3" t="s">
        <v>13</v>
      </c>
      <c r="D441" s="2" t="s">
        <v>26</v>
      </c>
      <c r="E441" s="12">
        <v>46201</v>
      </c>
      <c r="F441" s="2" t="s">
        <v>15</v>
      </c>
      <c r="G441" s="3" t="s">
        <v>261</v>
      </c>
      <c r="H441" s="3" t="s">
        <v>38</v>
      </c>
      <c r="I441" s="4" t="s">
        <v>391</v>
      </c>
      <c r="J441" s="2" t="s">
        <v>18</v>
      </c>
      <c r="K441" s="3" t="s">
        <v>74</v>
      </c>
      <c r="L441" s="3" t="s">
        <v>392</v>
      </c>
      <c r="M441" s="15">
        <v>46217</v>
      </c>
      <c r="N441" s="16" t="str">
        <f>IFERROR(VLOOKUP(A441,[1]Hoja1!$A$2:$J$68,10,FALSE), " - ")</f>
        <v xml:space="preserve"> - </v>
      </c>
    </row>
    <row r="442" spans="1:14" x14ac:dyDescent="0.3">
      <c r="A442" s="5">
        <v>36490</v>
      </c>
      <c r="B442" s="5" t="s">
        <v>12</v>
      </c>
      <c r="C442" s="6" t="s">
        <v>13</v>
      </c>
      <c r="D442" s="5" t="s">
        <v>26</v>
      </c>
      <c r="E442" s="13">
        <v>46201</v>
      </c>
      <c r="F442" s="5" t="s">
        <v>15</v>
      </c>
      <c r="G442" s="6" t="s">
        <v>329</v>
      </c>
      <c r="H442" s="6" t="s">
        <v>42</v>
      </c>
      <c r="I442" s="4" t="s">
        <v>154</v>
      </c>
      <c r="J442" s="5" t="s">
        <v>18</v>
      </c>
      <c r="K442" s="6" t="s">
        <v>35</v>
      </c>
      <c r="L442" s="6" t="s">
        <v>330</v>
      </c>
      <c r="M442" s="15">
        <v>46217</v>
      </c>
      <c r="N442" s="16" t="str">
        <f>IFERROR(VLOOKUP(A442,[1]Hoja1!$A$2:$J$68,10,FALSE), " - ")</f>
        <v xml:space="preserve"> - </v>
      </c>
    </row>
    <row r="443" spans="1:14" x14ac:dyDescent="0.3">
      <c r="A443" s="2">
        <v>36490</v>
      </c>
      <c r="B443" s="2" t="s">
        <v>12</v>
      </c>
      <c r="C443" s="3" t="s">
        <v>13</v>
      </c>
      <c r="D443" s="2" t="s">
        <v>26</v>
      </c>
      <c r="E443" s="12">
        <v>46201</v>
      </c>
      <c r="F443" s="2" t="s">
        <v>15</v>
      </c>
      <c r="G443" s="3" t="s">
        <v>329</v>
      </c>
      <c r="H443" s="3" t="s">
        <v>42</v>
      </c>
      <c r="I443" s="4" t="s">
        <v>652</v>
      </c>
      <c r="J443" s="2" t="s">
        <v>18</v>
      </c>
      <c r="K443" s="3" t="s">
        <v>506</v>
      </c>
      <c r="L443" s="3" t="s">
        <v>330</v>
      </c>
      <c r="M443" s="15">
        <v>46217</v>
      </c>
      <c r="N443" s="16" t="str">
        <f>IFERROR(VLOOKUP(A443,[1]Hoja1!$A$2:$J$68,10,FALSE), " - ")</f>
        <v xml:space="preserve"> - </v>
      </c>
    </row>
    <row r="444" spans="1:14" x14ac:dyDescent="0.3">
      <c r="A444" s="2">
        <v>36490</v>
      </c>
      <c r="B444" s="2" t="s">
        <v>12</v>
      </c>
      <c r="C444" s="3" t="s">
        <v>13</v>
      </c>
      <c r="D444" s="2" t="s">
        <v>26</v>
      </c>
      <c r="E444" s="12">
        <v>46201</v>
      </c>
      <c r="F444" s="2" t="s">
        <v>15</v>
      </c>
      <c r="G444" s="3" t="s">
        <v>329</v>
      </c>
      <c r="H444" s="3" t="s">
        <v>42</v>
      </c>
      <c r="I444" s="4" t="s">
        <v>697</v>
      </c>
      <c r="J444" s="2" t="s">
        <v>18</v>
      </c>
      <c r="K444" s="3" t="s">
        <v>698</v>
      </c>
      <c r="L444" s="3" t="s">
        <v>330</v>
      </c>
      <c r="M444" s="15">
        <v>46217</v>
      </c>
      <c r="N444" s="16" t="str">
        <f>IFERROR(VLOOKUP(A444,[1]Hoja1!$A$2:$J$68,10,FALSE), " - ")</f>
        <v xml:space="preserve"> - </v>
      </c>
    </row>
    <row r="445" spans="1:14" x14ac:dyDescent="0.3">
      <c r="A445" s="2">
        <v>36492</v>
      </c>
      <c r="B445" s="2" t="s">
        <v>12</v>
      </c>
      <c r="C445" s="3" t="s">
        <v>13</v>
      </c>
      <c r="D445" s="2" t="s">
        <v>14</v>
      </c>
      <c r="E445" s="12">
        <v>46201</v>
      </c>
      <c r="F445" s="2" t="s">
        <v>15</v>
      </c>
      <c r="G445" s="3" t="s">
        <v>76</v>
      </c>
      <c r="H445" s="3" t="s">
        <v>77</v>
      </c>
      <c r="I445" s="4" t="s">
        <v>78</v>
      </c>
      <c r="J445" s="2" t="s">
        <v>18</v>
      </c>
      <c r="K445" s="3" t="s">
        <v>35</v>
      </c>
      <c r="L445" s="3" t="s">
        <v>79</v>
      </c>
      <c r="M445" s="15">
        <v>46217</v>
      </c>
      <c r="N445" s="16" t="str">
        <f>IFERROR(VLOOKUP(A445,[1]Hoja1!$A$2:$J$68,10,FALSE), " - ")</f>
        <v xml:space="preserve"> - </v>
      </c>
    </row>
    <row r="446" spans="1:14" x14ac:dyDescent="0.3">
      <c r="A446" s="2">
        <v>36492</v>
      </c>
      <c r="B446" s="2" t="s">
        <v>12</v>
      </c>
      <c r="C446" s="3" t="s">
        <v>13</v>
      </c>
      <c r="D446" s="2" t="s">
        <v>14</v>
      </c>
      <c r="E446" s="12">
        <v>46201</v>
      </c>
      <c r="F446" s="2" t="s">
        <v>15</v>
      </c>
      <c r="G446" s="3" t="s">
        <v>76</v>
      </c>
      <c r="H446" s="3" t="s">
        <v>77</v>
      </c>
      <c r="I446" s="4" t="s">
        <v>482</v>
      </c>
      <c r="J446" s="2" t="s">
        <v>18</v>
      </c>
      <c r="K446" s="3" t="s">
        <v>35</v>
      </c>
      <c r="L446" s="3" t="s">
        <v>79</v>
      </c>
      <c r="M446" s="15">
        <v>46217</v>
      </c>
      <c r="N446" s="16" t="str">
        <f>IFERROR(VLOOKUP(A446,[1]Hoja1!$A$2:$J$68,10,FALSE), " - ")</f>
        <v xml:space="preserve"> - </v>
      </c>
    </row>
    <row r="447" spans="1:14" x14ac:dyDescent="0.3">
      <c r="A447" s="5">
        <v>36492</v>
      </c>
      <c r="B447" s="5" t="s">
        <v>12</v>
      </c>
      <c r="C447" s="6" t="s">
        <v>13</v>
      </c>
      <c r="D447" s="5" t="s">
        <v>14</v>
      </c>
      <c r="E447" s="13">
        <v>46201</v>
      </c>
      <c r="F447" s="5" t="s">
        <v>15</v>
      </c>
      <c r="G447" s="6" t="s">
        <v>76</v>
      </c>
      <c r="H447" s="6" t="s">
        <v>77</v>
      </c>
      <c r="I447" s="4" t="s">
        <v>362</v>
      </c>
      <c r="J447" s="5" t="s">
        <v>18</v>
      </c>
      <c r="K447" s="6" t="s">
        <v>35</v>
      </c>
      <c r="L447" s="6" t="s">
        <v>79</v>
      </c>
      <c r="M447" s="15">
        <v>46217</v>
      </c>
      <c r="N447" s="16" t="str">
        <f>IFERROR(VLOOKUP(A447,[1]Hoja1!$A$2:$J$68,10,FALSE), " - ")</f>
        <v xml:space="preserve"> - </v>
      </c>
    </row>
    <row r="448" spans="1:14" x14ac:dyDescent="0.3">
      <c r="A448" s="5">
        <v>36492</v>
      </c>
      <c r="B448" s="5" t="s">
        <v>12</v>
      </c>
      <c r="C448" s="6" t="s">
        <v>13</v>
      </c>
      <c r="D448" s="5" t="s">
        <v>14</v>
      </c>
      <c r="E448" s="13">
        <v>46201</v>
      </c>
      <c r="F448" s="5" t="s">
        <v>15</v>
      </c>
      <c r="G448" s="6" t="s">
        <v>76</v>
      </c>
      <c r="H448" s="6" t="s">
        <v>77</v>
      </c>
      <c r="I448" s="4" t="s">
        <v>699</v>
      </c>
      <c r="J448" s="5" t="s">
        <v>18</v>
      </c>
      <c r="K448" s="6" t="s">
        <v>700</v>
      </c>
      <c r="L448" s="6" t="s">
        <v>79</v>
      </c>
      <c r="M448" s="15">
        <v>46217</v>
      </c>
      <c r="N448" s="16" t="str">
        <f>IFERROR(VLOOKUP(A448,[1]Hoja1!$A$2:$J$68,10,FALSE), " - ")</f>
        <v xml:space="preserve"> - </v>
      </c>
    </row>
    <row r="449" spans="1:14" x14ac:dyDescent="0.3">
      <c r="A449" s="5">
        <v>36494</v>
      </c>
      <c r="B449" s="5" t="s">
        <v>12</v>
      </c>
      <c r="C449" s="6" t="s">
        <v>13</v>
      </c>
      <c r="D449" s="5" t="s">
        <v>14</v>
      </c>
      <c r="E449" s="13">
        <v>46201</v>
      </c>
      <c r="F449" s="5" t="s">
        <v>15</v>
      </c>
      <c r="G449" s="6" t="s">
        <v>326</v>
      </c>
      <c r="H449" s="6" t="s">
        <v>38</v>
      </c>
      <c r="I449" s="4" t="s">
        <v>393</v>
      </c>
      <c r="J449" s="5" t="s">
        <v>18</v>
      </c>
      <c r="K449" s="6" t="s">
        <v>394</v>
      </c>
      <c r="L449" s="6" t="s">
        <v>395</v>
      </c>
      <c r="M449" s="15">
        <v>46217</v>
      </c>
      <c r="N449" s="16" t="str">
        <f>IFERROR(VLOOKUP(A449,[1]Hoja1!$A$2:$J$68,10,FALSE), " - ")</f>
        <v xml:space="preserve"> - </v>
      </c>
    </row>
    <row r="450" spans="1:14" x14ac:dyDescent="0.3">
      <c r="A450" s="5">
        <v>36500</v>
      </c>
      <c r="B450" s="5" t="s">
        <v>12</v>
      </c>
      <c r="C450" s="6" t="s">
        <v>13</v>
      </c>
      <c r="D450" s="5" t="s">
        <v>26</v>
      </c>
      <c r="E450" s="13">
        <v>46201</v>
      </c>
      <c r="F450" s="5" t="s">
        <v>15</v>
      </c>
      <c r="G450" s="6" t="s">
        <v>562</v>
      </c>
      <c r="H450" s="6" t="s">
        <v>91</v>
      </c>
      <c r="I450" s="4" t="s">
        <v>859</v>
      </c>
      <c r="J450" s="5" t="s">
        <v>18</v>
      </c>
      <c r="K450" s="6" t="s">
        <v>860</v>
      </c>
      <c r="L450" s="6" t="s">
        <v>861</v>
      </c>
      <c r="M450" s="15">
        <v>46217</v>
      </c>
      <c r="N450" s="16" t="str">
        <f>IFERROR(VLOOKUP(A450,[1]Hoja1!$A$2:$J$68,10,FALSE), " - ")</f>
        <v xml:space="preserve"> - </v>
      </c>
    </row>
    <row r="451" spans="1:14" x14ac:dyDescent="0.3">
      <c r="A451" s="2">
        <v>36848</v>
      </c>
      <c r="B451" s="2" t="s">
        <v>12</v>
      </c>
      <c r="C451" s="3" t="s">
        <v>57</v>
      </c>
      <c r="D451" s="2" t="s">
        <v>14</v>
      </c>
      <c r="E451" s="12">
        <v>46201</v>
      </c>
      <c r="F451" s="2" t="s">
        <v>15</v>
      </c>
      <c r="G451" s="3" t="s">
        <v>290</v>
      </c>
      <c r="H451" s="3" t="s">
        <v>137</v>
      </c>
      <c r="I451" s="7" t="s">
        <v>750</v>
      </c>
      <c r="J451" s="2" t="s">
        <v>61</v>
      </c>
      <c r="K451" s="3" t="s">
        <v>31</v>
      </c>
      <c r="L451" s="3" t="s">
        <v>32</v>
      </c>
      <c r="M451" s="15">
        <v>46217</v>
      </c>
      <c r="N451" s="16" t="str">
        <f>IFERROR(VLOOKUP(A451,[1]Hoja1!$A$2:$J$68,10,FALSE), " - ")</f>
        <v xml:space="preserve"> - </v>
      </c>
    </row>
    <row r="452" spans="1:14" x14ac:dyDescent="0.3">
      <c r="A452" s="2">
        <v>36505</v>
      </c>
      <c r="B452" s="2" t="s">
        <v>12</v>
      </c>
      <c r="C452" s="3" t="s">
        <v>13</v>
      </c>
      <c r="D452" s="2" t="s">
        <v>14</v>
      </c>
      <c r="E452" s="12">
        <v>46202</v>
      </c>
      <c r="F452" s="2" t="s">
        <v>15</v>
      </c>
      <c r="G452" s="3" t="s">
        <v>209</v>
      </c>
      <c r="H452" s="3" t="s">
        <v>65</v>
      </c>
      <c r="I452" s="4" t="s">
        <v>210</v>
      </c>
      <c r="J452" s="2" t="s">
        <v>18</v>
      </c>
      <c r="K452" s="3" t="s">
        <v>44</v>
      </c>
      <c r="L452" s="3" t="s">
        <v>211</v>
      </c>
      <c r="M452" s="15">
        <v>46217</v>
      </c>
      <c r="N452" s="16" t="str">
        <f>IFERROR(VLOOKUP(A452,[1]Hoja1!$A$2:$J$68,10,FALSE), " - ")</f>
        <v xml:space="preserve"> - </v>
      </c>
    </row>
    <row r="453" spans="1:14" x14ac:dyDescent="0.3">
      <c r="A453" s="2">
        <v>36505</v>
      </c>
      <c r="B453" s="2" t="s">
        <v>12</v>
      </c>
      <c r="C453" s="3" t="s">
        <v>13</v>
      </c>
      <c r="D453" s="2" t="s">
        <v>14</v>
      </c>
      <c r="E453" s="12">
        <v>46202</v>
      </c>
      <c r="F453" s="2" t="s">
        <v>15</v>
      </c>
      <c r="G453" s="3" t="s">
        <v>209</v>
      </c>
      <c r="H453" s="3" t="s">
        <v>65</v>
      </c>
      <c r="I453" s="4" t="s">
        <v>118</v>
      </c>
      <c r="J453" s="2" t="s">
        <v>18</v>
      </c>
      <c r="K453" s="3" t="s">
        <v>44</v>
      </c>
      <c r="L453" s="3" t="s">
        <v>211</v>
      </c>
      <c r="M453" s="15">
        <v>46217</v>
      </c>
      <c r="N453" s="16" t="str">
        <f>IFERROR(VLOOKUP(A453,[1]Hoja1!$A$2:$J$68,10,FALSE), " - ")</f>
        <v xml:space="preserve"> - </v>
      </c>
    </row>
    <row r="454" spans="1:14" x14ac:dyDescent="0.3">
      <c r="A454" s="2">
        <v>36505</v>
      </c>
      <c r="B454" s="2" t="s">
        <v>12</v>
      </c>
      <c r="C454" s="3" t="s">
        <v>13</v>
      </c>
      <c r="D454" s="2" t="s">
        <v>14</v>
      </c>
      <c r="E454" s="12">
        <v>46202</v>
      </c>
      <c r="F454" s="2" t="s">
        <v>15</v>
      </c>
      <c r="G454" s="3" t="s">
        <v>209</v>
      </c>
      <c r="H454" s="3" t="s">
        <v>65</v>
      </c>
      <c r="I454" s="4" t="s">
        <v>653</v>
      </c>
      <c r="J454" s="2" t="s">
        <v>18</v>
      </c>
      <c r="K454" s="3" t="s">
        <v>35</v>
      </c>
      <c r="L454" s="3" t="s">
        <v>211</v>
      </c>
      <c r="M454" s="15">
        <v>46217</v>
      </c>
      <c r="N454" s="16" t="str">
        <f>IFERROR(VLOOKUP(A454,[1]Hoja1!$A$2:$J$68,10,FALSE), " - ")</f>
        <v xml:space="preserve"> - </v>
      </c>
    </row>
    <row r="455" spans="1:14" x14ac:dyDescent="0.3">
      <c r="A455" s="2">
        <v>36505</v>
      </c>
      <c r="B455" s="2" t="s">
        <v>12</v>
      </c>
      <c r="C455" s="3" t="s">
        <v>13</v>
      </c>
      <c r="D455" s="2" t="s">
        <v>14</v>
      </c>
      <c r="E455" s="12">
        <v>46202</v>
      </c>
      <c r="F455" s="2" t="s">
        <v>15</v>
      </c>
      <c r="G455" s="3" t="s">
        <v>209</v>
      </c>
      <c r="H455" s="3" t="s">
        <v>65</v>
      </c>
      <c r="I455" s="4" t="s">
        <v>376</v>
      </c>
      <c r="J455" s="2" t="s">
        <v>18</v>
      </c>
      <c r="K455" s="3" t="s">
        <v>753</v>
      </c>
      <c r="L455" s="3" t="s">
        <v>211</v>
      </c>
      <c r="M455" s="15">
        <v>46217</v>
      </c>
      <c r="N455" s="16" t="str">
        <f>IFERROR(VLOOKUP(A455,[1]Hoja1!$A$2:$J$68,10,FALSE), " - ")</f>
        <v xml:space="preserve"> - </v>
      </c>
    </row>
    <row r="456" spans="1:14" x14ac:dyDescent="0.3">
      <c r="A456" s="2">
        <v>36505</v>
      </c>
      <c r="B456" s="2" t="s">
        <v>12</v>
      </c>
      <c r="C456" s="3" t="s">
        <v>13</v>
      </c>
      <c r="D456" s="2" t="s">
        <v>14</v>
      </c>
      <c r="E456" s="12">
        <v>46202</v>
      </c>
      <c r="F456" s="2" t="s">
        <v>15</v>
      </c>
      <c r="G456" s="3" t="s">
        <v>209</v>
      </c>
      <c r="H456" s="3" t="s">
        <v>65</v>
      </c>
      <c r="I456" s="4" t="s">
        <v>379</v>
      </c>
      <c r="J456" s="2" t="s">
        <v>18</v>
      </c>
      <c r="K456" s="3" t="s">
        <v>753</v>
      </c>
      <c r="L456" s="3" t="s">
        <v>211</v>
      </c>
      <c r="M456" s="15">
        <v>46217</v>
      </c>
      <c r="N456" s="16" t="str">
        <f>IFERROR(VLOOKUP(A456,[1]Hoja1!$A$2:$J$68,10,FALSE), " - ")</f>
        <v xml:space="preserve"> - </v>
      </c>
    </row>
    <row r="457" spans="1:14" x14ac:dyDescent="0.3">
      <c r="A457" s="5">
        <v>36625</v>
      </c>
      <c r="B457" s="5" t="s">
        <v>12</v>
      </c>
      <c r="C457" s="6" t="s">
        <v>63</v>
      </c>
      <c r="D457" s="5" t="s">
        <v>26</v>
      </c>
      <c r="E457" s="13">
        <v>46202</v>
      </c>
      <c r="F457" s="5" t="s">
        <v>27</v>
      </c>
      <c r="G457" s="6" t="s">
        <v>575</v>
      </c>
      <c r="H457" s="6" t="s">
        <v>72</v>
      </c>
      <c r="I457" s="4" t="s">
        <v>126</v>
      </c>
      <c r="J457" s="5" t="s">
        <v>18</v>
      </c>
      <c r="K457" s="6" t="s">
        <v>127</v>
      </c>
      <c r="L457" s="6" t="s">
        <v>576</v>
      </c>
      <c r="M457" s="15">
        <v>46217</v>
      </c>
      <c r="N457" s="16" t="str">
        <f>IFERROR(VLOOKUP(A457,[1]Hoja1!$A$2:$J$68,10,FALSE), " - ")</f>
        <v xml:space="preserve"> - </v>
      </c>
    </row>
    <row r="458" spans="1:14" x14ac:dyDescent="0.3">
      <c r="A458" s="2">
        <v>36625</v>
      </c>
      <c r="B458" s="2" t="s">
        <v>12</v>
      </c>
      <c r="C458" s="3" t="s">
        <v>63</v>
      </c>
      <c r="D458" s="2" t="s">
        <v>26</v>
      </c>
      <c r="E458" s="12">
        <v>46202</v>
      </c>
      <c r="F458" s="2" t="s">
        <v>27</v>
      </c>
      <c r="G458" s="3" t="s">
        <v>575</v>
      </c>
      <c r="H458" s="3" t="s">
        <v>72</v>
      </c>
      <c r="I458" s="4" t="s">
        <v>657</v>
      </c>
      <c r="J458" s="2" t="s">
        <v>18</v>
      </c>
      <c r="K458" s="3" t="s">
        <v>35</v>
      </c>
      <c r="L458" s="3" t="s">
        <v>576</v>
      </c>
      <c r="M458" s="15">
        <v>46217</v>
      </c>
      <c r="N458" s="16" t="str">
        <f>IFERROR(VLOOKUP(A458,[1]Hoja1!$A$2:$J$68,10,FALSE), " - ")</f>
        <v xml:space="preserve"> - </v>
      </c>
    </row>
    <row r="459" spans="1:14" x14ac:dyDescent="0.3">
      <c r="A459" s="5">
        <v>36627</v>
      </c>
      <c r="B459" s="5" t="s">
        <v>12</v>
      </c>
      <c r="C459" s="6" t="s">
        <v>13</v>
      </c>
      <c r="D459" s="5" t="s">
        <v>26</v>
      </c>
      <c r="E459" s="13">
        <v>46202</v>
      </c>
      <c r="F459" s="5" t="s">
        <v>15</v>
      </c>
      <c r="G459" s="6" t="s">
        <v>867</v>
      </c>
      <c r="H459" s="6" t="s">
        <v>130</v>
      </c>
      <c r="I459" s="4" t="s">
        <v>142</v>
      </c>
      <c r="J459" s="5" t="s">
        <v>18</v>
      </c>
      <c r="K459" s="6" t="s">
        <v>325</v>
      </c>
      <c r="L459" s="6" t="s">
        <v>868</v>
      </c>
      <c r="M459" s="15">
        <v>46217</v>
      </c>
      <c r="N459" s="16" t="str">
        <f>IFERROR(VLOOKUP(A459,[1]Hoja1!$A$2:$J$68,10,FALSE), " - ")</f>
        <v xml:space="preserve"> - </v>
      </c>
    </row>
    <row r="460" spans="1:14" x14ac:dyDescent="0.3">
      <c r="A460" s="2">
        <v>36629</v>
      </c>
      <c r="B460" s="2" t="s">
        <v>12</v>
      </c>
      <c r="C460" s="3" t="s">
        <v>13</v>
      </c>
      <c r="D460" s="2" t="s">
        <v>14</v>
      </c>
      <c r="E460" s="12">
        <v>46202</v>
      </c>
      <c r="F460" s="2" t="s">
        <v>15</v>
      </c>
      <c r="G460" s="3" t="s">
        <v>283</v>
      </c>
      <c r="H460" s="3" t="s">
        <v>177</v>
      </c>
      <c r="I460" s="4" t="s">
        <v>836</v>
      </c>
      <c r="J460" s="2" t="s">
        <v>18</v>
      </c>
      <c r="K460" s="3" t="s">
        <v>837</v>
      </c>
      <c r="L460" s="3" t="s">
        <v>838</v>
      </c>
      <c r="M460" s="15">
        <v>46217</v>
      </c>
      <c r="N460" s="16" t="str">
        <f>IFERROR(VLOOKUP(A460,[1]Hoja1!$A$2:$J$68,10,FALSE), " - ")</f>
        <v xml:space="preserve"> - </v>
      </c>
    </row>
    <row r="461" spans="1:14" x14ac:dyDescent="0.3">
      <c r="A461" s="5">
        <v>36629</v>
      </c>
      <c r="B461" s="5" t="s">
        <v>12</v>
      </c>
      <c r="C461" s="6" t="s">
        <v>13</v>
      </c>
      <c r="D461" s="5" t="s">
        <v>14</v>
      </c>
      <c r="E461" s="13">
        <v>46202</v>
      </c>
      <c r="F461" s="5" t="s">
        <v>15</v>
      </c>
      <c r="G461" s="6" t="s">
        <v>283</v>
      </c>
      <c r="H461" s="6" t="s">
        <v>177</v>
      </c>
      <c r="I461" s="4" t="s">
        <v>304</v>
      </c>
      <c r="J461" s="5" t="s">
        <v>18</v>
      </c>
      <c r="K461" s="6" t="s">
        <v>305</v>
      </c>
      <c r="L461" s="6" t="s">
        <v>838</v>
      </c>
      <c r="M461" s="15">
        <v>46217</v>
      </c>
      <c r="N461" s="16" t="str">
        <f>IFERROR(VLOOKUP(A461,[1]Hoja1!$A$2:$J$68,10,FALSE), " - ")</f>
        <v xml:space="preserve"> - </v>
      </c>
    </row>
    <row r="462" spans="1:14" x14ac:dyDescent="0.3">
      <c r="A462" s="5">
        <v>36639</v>
      </c>
      <c r="B462" s="5" t="s">
        <v>12</v>
      </c>
      <c r="C462" s="6" t="s">
        <v>13</v>
      </c>
      <c r="D462" s="5" t="s">
        <v>14</v>
      </c>
      <c r="E462" s="13">
        <v>46202</v>
      </c>
      <c r="F462" s="5" t="s">
        <v>15</v>
      </c>
      <c r="G462" s="6" t="s">
        <v>727</v>
      </c>
      <c r="H462" s="6" t="s">
        <v>189</v>
      </c>
      <c r="I462" s="4" t="s">
        <v>123</v>
      </c>
      <c r="J462" s="5" t="s">
        <v>18</v>
      </c>
      <c r="K462" s="6" t="s">
        <v>35</v>
      </c>
      <c r="L462" s="6" t="s">
        <v>728</v>
      </c>
      <c r="M462" s="15">
        <v>46217</v>
      </c>
      <c r="N462" s="16" t="str">
        <f>IFERROR(VLOOKUP(A462,[1]Hoja1!$A$2:$J$68,10,FALSE), " - ")</f>
        <v xml:space="preserve"> - </v>
      </c>
    </row>
    <row r="463" spans="1:14" x14ac:dyDescent="0.3">
      <c r="A463" s="2">
        <v>36820</v>
      </c>
      <c r="B463" s="2" t="s">
        <v>12</v>
      </c>
      <c r="C463" s="3" t="s">
        <v>57</v>
      </c>
      <c r="D463" s="2" t="s">
        <v>14</v>
      </c>
      <c r="E463" s="12">
        <v>46202</v>
      </c>
      <c r="F463" s="2" t="s">
        <v>15</v>
      </c>
      <c r="G463" s="3" t="s">
        <v>109</v>
      </c>
      <c r="H463" s="3" t="s">
        <v>17</v>
      </c>
      <c r="I463" s="4" t="s">
        <v>279</v>
      </c>
      <c r="J463" s="2" t="s">
        <v>18</v>
      </c>
      <c r="K463" s="3" t="s">
        <v>280</v>
      </c>
      <c r="L463" s="3" t="s">
        <v>331</v>
      </c>
      <c r="M463" s="15">
        <v>46217</v>
      </c>
      <c r="N463" s="16" t="str">
        <f>IFERROR(VLOOKUP(A463,[1]Hoja1!$A$2:$J$68,10,FALSE), " - ")</f>
        <v xml:space="preserve"> - </v>
      </c>
    </row>
    <row r="464" spans="1:14" x14ac:dyDescent="0.3">
      <c r="A464" s="5">
        <v>36821</v>
      </c>
      <c r="B464" s="5" t="s">
        <v>12</v>
      </c>
      <c r="C464" s="6" t="s">
        <v>57</v>
      </c>
      <c r="D464" s="5" t="s">
        <v>14</v>
      </c>
      <c r="E464" s="13">
        <v>46202</v>
      </c>
      <c r="F464" s="5" t="s">
        <v>15</v>
      </c>
      <c r="G464" s="6" t="s">
        <v>384</v>
      </c>
      <c r="H464" s="6" t="s">
        <v>237</v>
      </c>
      <c r="I464" s="8" t="s">
        <v>307</v>
      </c>
      <c r="J464" s="5" t="s">
        <v>18</v>
      </c>
      <c r="K464" s="6" t="s">
        <v>69</v>
      </c>
      <c r="L464" s="6" t="s">
        <v>319</v>
      </c>
      <c r="M464" s="15">
        <v>46217</v>
      </c>
      <c r="N464" s="16" t="str">
        <f>IFERROR(VLOOKUP(A464,[1]Hoja1!$A$2:$J$68,10,FALSE), " - ")</f>
        <v xml:space="preserve"> - </v>
      </c>
    </row>
    <row r="465" spans="1:14" x14ac:dyDescent="0.3">
      <c r="A465" s="5">
        <v>36844</v>
      </c>
      <c r="B465" s="5" t="s">
        <v>12</v>
      </c>
      <c r="C465" s="6" t="s">
        <v>57</v>
      </c>
      <c r="D465" s="5" t="s">
        <v>14</v>
      </c>
      <c r="E465" s="13">
        <v>46202</v>
      </c>
      <c r="F465" s="5" t="s">
        <v>15</v>
      </c>
      <c r="G465" s="6" t="s">
        <v>565</v>
      </c>
      <c r="H465" s="6" t="s">
        <v>17</v>
      </c>
      <c r="I465" s="8" t="s">
        <v>566</v>
      </c>
      <c r="J465" s="5" t="s">
        <v>18</v>
      </c>
      <c r="K465" s="6" t="s">
        <v>69</v>
      </c>
      <c r="L465" s="6" t="s">
        <v>567</v>
      </c>
      <c r="M465" s="15">
        <v>46217</v>
      </c>
      <c r="N465" s="16" t="str">
        <f>IFERROR(VLOOKUP(A465,[1]Hoja1!$A$2:$J$68,10,FALSE), " - ")</f>
        <v xml:space="preserve"> - </v>
      </c>
    </row>
    <row r="466" spans="1:14" x14ac:dyDescent="0.3">
      <c r="A466" s="5">
        <v>36845</v>
      </c>
      <c r="B466" s="5" t="s">
        <v>12</v>
      </c>
      <c r="C466" s="6" t="s">
        <v>57</v>
      </c>
      <c r="D466" s="5" t="s">
        <v>14</v>
      </c>
      <c r="E466" s="13">
        <v>46202</v>
      </c>
      <c r="F466" s="5" t="s">
        <v>15</v>
      </c>
      <c r="G466" s="6" t="s">
        <v>669</v>
      </c>
      <c r="H466" s="6" t="s">
        <v>237</v>
      </c>
      <c r="I466" s="8" t="s">
        <v>318</v>
      </c>
      <c r="J466" s="5" t="s">
        <v>18</v>
      </c>
      <c r="K466" s="6" t="s">
        <v>69</v>
      </c>
      <c r="L466" s="6" t="s">
        <v>319</v>
      </c>
      <c r="M466" s="15">
        <v>46217</v>
      </c>
      <c r="N466" s="16" t="str">
        <f>IFERROR(VLOOKUP(A466,[1]Hoja1!$A$2:$J$68,10,FALSE), " - ")</f>
        <v xml:space="preserve"> - </v>
      </c>
    </row>
    <row r="467" spans="1:14" x14ac:dyDescent="0.3">
      <c r="A467" s="5">
        <v>36846</v>
      </c>
      <c r="B467" s="5" t="s">
        <v>12</v>
      </c>
      <c r="C467" s="6" t="s">
        <v>57</v>
      </c>
      <c r="D467" s="5" t="s">
        <v>14</v>
      </c>
      <c r="E467" s="13">
        <v>46202</v>
      </c>
      <c r="F467" s="5" t="s">
        <v>15</v>
      </c>
      <c r="G467" s="6" t="s">
        <v>276</v>
      </c>
      <c r="H467" s="6" t="s">
        <v>277</v>
      </c>
      <c r="I467" s="8" t="s">
        <v>318</v>
      </c>
      <c r="J467" s="5" t="s">
        <v>18</v>
      </c>
      <c r="K467" s="6" t="s">
        <v>69</v>
      </c>
      <c r="L467" s="6" t="s">
        <v>319</v>
      </c>
      <c r="M467" s="15">
        <v>46217</v>
      </c>
      <c r="N467" s="16" t="str">
        <f>IFERROR(VLOOKUP(A467,[1]Hoja1!$A$2:$J$68,10,FALSE), " - ")</f>
        <v xml:space="preserve"> - </v>
      </c>
    </row>
    <row r="468" spans="1:14" x14ac:dyDescent="0.3">
      <c r="A468" s="2">
        <v>36867</v>
      </c>
      <c r="B468" s="2" t="s">
        <v>12</v>
      </c>
      <c r="C468" s="3" t="s">
        <v>57</v>
      </c>
      <c r="D468" s="2" t="s">
        <v>14</v>
      </c>
      <c r="E468" s="12">
        <v>46202</v>
      </c>
      <c r="F468" s="2" t="s">
        <v>15</v>
      </c>
      <c r="G468" s="3" t="s">
        <v>67</v>
      </c>
      <c r="H468" s="3" t="s">
        <v>20</v>
      </c>
      <c r="I468" s="8" t="s">
        <v>68</v>
      </c>
      <c r="J468" s="2" t="s">
        <v>18</v>
      </c>
      <c r="K468" s="3" t="s">
        <v>69</v>
      </c>
      <c r="L468" s="3" t="s">
        <v>70</v>
      </c>
      <c r="M468" s="15">
        <v>46217</v>
      </c>
      <c r="N468" s="16" t="str">
        <f>IFERROR(VLOOKUP(A468,[1]Hoja1!$A$2:$J$68,10,FALSE), " - ")</f>
        <v xml:space="preserve"> - </v>
      </c>
    </row>
    <row r="469" spans="1:14" x14ac:dyDescent="0.3">
      <c r="A469" s="2">
        <v>36869</v>
      </c>
      <c r="B469" s="2" t="s">
        <v>12</v>
      </c>
      <c r="C469" s="3" t="s">
        <v>57</v>
      </c>
      <c r="D469" s="2" t="s">
        <v>14</v>
      </c>
      <c r="E469" s="12">
        <v>46202</v>
      </c>
      <c r="F469" s="2" t="s">
        <v>15</v>
      </c>
      <c r="G469" s="3" t="s">
        <v>568</v>
      </c>
      <c r="H469" s="3" t="s">
        <v>17</v>
      </c>
      <c r="I469" s="8" t="s">
        <v>569</v>
      </c>
      <c r="J469" s="2" t="s">
        <v>18</v>
      </c>
      <c r="K469" s="3" t="s">
        <v>69</v>
      </c>
      <c r="L469" s="3" t="s">
        <v>570</v>
      </c>
      <c r="M469" s="15">
        <v>46217</v>
      </c>
      <c r="N469" s="16" t="str">
        <f>IFERROR(VLOOKUP(A469,[1]Hoja1!$A$2:$J$68,10,FALSE), " - ")</f>
        <v xml:space="preserve"> - </v>
      </c>
    </row>
    <row r="470" spans="1:14" x14ac:dyDescent="0.3">
      <c r="A470" s="2">
        <v>36636</v>
      </c>
      <c r="B470" s="2" t="s">
        <v>33</v>
      </c>
      <c r="C470" s="3" t="s">
        <v>13</v>
      </c>
      <c r="D470" s="2" t="s">
        <v>26</v>
      </c>
      <c r="E470" s="12">
        <v>46203</v>
      </c>
      <c r="F470" s="2" t="s">
        <v>15</v>
      </c>
      <c r="G470" s="3" t="s">
        <v>361</v>
      </c>
      <c r="H470" s="3" t="s">
        <v>47</v>
      </c>
      <c r="I470" s="4" t="s">
        <v>138</v>
      </c>
      <c r="J470" s="2" t="s">
        <v>18</v>
      </c>
      <c r="K470" s="3" t="s">
        <v>139</v>
      </c>
      <c r="L470" s="3" t="s">
        <v>591</v>
      </c>
      <c r="M470" s="15">
        <v>46217</v>
      </c>
      <c r="N470" s="16" t="str">
        <f>IFERROR(VLOOKUP(A470,[1]Hoja1!$A$2:$J$68,10,FALSE), " - ")</f>
        <v xml:space="preserve"> - </v>
      </c>
    </row>
    <row r="471" spans="1:14" x14ac:dyDescent="0.3">
      <c r="A471" s="5">
        <v>36637</v>
      </c>
      <c r="B471" s="5" t="s">
        <v>33</v>
      </c>
      <c r="C471" s="6" t="s">
        <v>13</v>
      </c>
      <c r="D471" s="5" t="s">
        <v>26</v>
      </c>
      <c r="E471" s="13">
        <v>46203</v>
      </c>
      <c r="F471" s="5" t="s">
        <v>15</v>
      </c>
      <c r="G471" s="6" t="s">
        <v>361</v>
      </c>
      <c r="H471" s="6" t="s">
        <v>47</v>
      </c>
      <c r="I471" s="4" t="s">
        <v>34</v>
      </c>
      <c r="J471" s="5" t="s">
        <v>18</v>
      </c>
      <c r="K471" s="6" t="s">
        <v>35</v>
      </c>
      <c r="L471" s="6" t="s">
        <v>592</v>
      </c>
      <c r="M471" s="15">
        <v>46217</v>
      </c>
      <c r="N471" s="16" t="str">
        <f>IFERROR(VLOOKUP(A471,[1]Hoja1!$A$2:$J$68,10,FALSE), " - ")</f>
        <v xml:space="preserve"> - </v>
      </c>
    </row>
    <row r="472" spans="1:14" x14ac:dyDescent="0.3">
      <c r="A472" s="2">
        <v>36679</v>
      </c>
      <c r="B472" s="2" t="s">
        <v>12</v>
      </c>
      <c r="C472" s="3" t="s">
        <v>80</v>
      </c>
      <c r="D472" s="2" t="s">
        <v>14</v>
      </c>
      <c r="E472" s="12">
        <v>46203</v>
      </c>
      <c r="F472" s="2" t="s">
        <v>15</v>
      </c>
      <c r="G472" s="3" t="s">
        <v>601</v>
      </c>
      <c r="H472" s="3" t="s">
        <v>602</v>
      </c>
      <c r="I472" s="4" t="s">
        <v>640</v>
      </c>
      <c r="J472" s="2" t="s">
        <v>61</v>
      </c>
      <c r="K472" s="3" t="s">
        <v>641</v>
      </c>
      <c r="L472" s="3" t="s">
        <v>642</v>
      </c>
      <c r="M472" s="15">
        <v>46217</v>
      </c>
      <c r="N472" s="16" t="str">
        <f>IFERROR(VLOOKUP(A472,[1]Hoja1!$A$2:$J$68,10,FALSE), " - ")</f>
        <v xml:space="preserve"> - </v>
      </c>
    </row>
    <row r="473" spans="1:14" x14ac:dyDescent="0.3">
      <c r="A473" s="2">
        <v>36661</v>
      </c>
      <c r="B473" s="2" t="s">
        <v>12</v>
      </c>
      <c r="C473" s="3" t="s">
        <v>13</v>
      </c>
      <c r="D473" s="2" t="s">
        <v>14</v>
      </c>
      <c r="E473" s="12">
        <v>46204</v>
      </c>
      <c r="F473" s="2" t="s">
        <v>15</v>
      </c>
      <c r="G473" s="3" t="s">
        <v>149</v>
      </c>
      <c r="H473" s="3" t="s">
        <v>91</v>
      </c>
      <c r="I473" s="7" t="s">
        <v>164</v>
      </c>
      <c r="J473" s="2" t="s">
        <v>18</v>
      </c>
      <c r="K473" s="3" t="s">
        <v>31</v>
      </c>
      <c r="L473" s="3" t="s">
        <v>32</v>
      </c>
      <c r="M473" s="15">
        <v>46217</v>
      </c>
      <c r="N473" s="16" t="str">
        <f>IFERROR(VLOOKUP(A473,[1]Hoja1!$A$2:$J$68,10,FALSE), " - ")</f>
        <v>FALTA MATERIAL</v>
      </c>
    </row>
    <row r="474" spans="1:14" x14ac:dyDescent="0.3">
      <c r="A474" s="5">
        <v>36664</v>
      </c>
      <c r="B474" s="5" t="s">
        <v>12</v>
      </c>
      <c r="C474" s="6" t="s">
        <v>13</v>
      </c>
      <c r="D474" s="5" t="s">
        <v>14</v>
      </c>
      <c r="E474" s="13">
        <v>46204</v>
      </c>
      <c r="F474" s="5" t="s">
        <v>15</v>
      </c>
      <c r="G474" s="6" t="s">
        <v>303</v>
      </c>
      <c r="H474" s="6" t="s">
        <v>20</v>
      </c>
      <c r="I474" s="7" t="s">
        <v>460</v>
      </c>
      <c r="J474" s="5" t="s">
        <v>18</v>
      </c>
      <c r="K474" s="6" t="s">
        <v>31</v>
      </c>
      <c r="L474" s="6" t="s">
        <v>32</v>
      </c>
      <c r="M474" s="15">
        <v>46217</v>
      </c>
      <c r="N474" s="16" t="str">
        <f>IFERROR(VLOOKUP(A474,[1]Hoja1!$A$2:$J$68,10,FALSE), " - ")</f>
        <v>FALTA MATERIAL</v>
      </c>
    </row>
    <row r="475" spans="1:14" x14ac:dyDescent="0.3">
      <c r="A475" s="2">
        <v>36666</v>
      </c>
      <c r="B475" s="2" t="s">
        <v>12</v>
      </c>
      <c r="C475" s="3" t="s">
        <v>13</v>
      </c>
      <c r="D475" s="2" t="s">
        <v>14</v>
      </c>
      <c r="E475" s="12">
        <v>46204</v>
      </c>
      <c r="F475" s="2" t="s">
        <v>15</v>
      </c>
      <c r="G475" s="3" t="s">
        <v>420</v>
      </c>
      <c r="H475" s="3" t="s">
        <v>196</v>
      </c>
      <c r="I475" s="4" t="s">
        <v>793</v>
      </c>
      <c r="J475" s="2" t="s">
        <v>61</v>
      </c>
      <c r="K475" s="3" t="s">
        <v>794</v>
      </c>
      <c r="L475" s="3" t="s">
        <v>889</v>
      </c>
      <c r="M475" s="15">
        <v>46217</v>
      </c>
      <c r="N475" s="16" t="str">
        <f>IFERROR(VLOOKUP(A475,[1]Hoja1!$A$2:$J$68,10,FALSE), " - ")</f>
        <v>FALTA MATERIAL</v>
      </c>
    </row>
    <row r="476" spans="1:14" x14ac:dyDescent="0.3">
      <c r="A476" s="5">
        <v>36669</v>
      </c>
      <c r="B476" s="5" t="s">
        <v>33</v>
      </c>
      <c r="C476" s="6" t="s">
        <v>13</v>
      </c>
      <c r="D476" s="5" t="s">
        <v>26</v>
      </c>
      <c r="E476" s="13">
        <v>46204</v>
      </c>
      <c r="F476" s="5" t="s">
        <v>15</v>
      </c>
      <c r="G476" s="6" t="s">
        <v>278</v>
      </c>
      <c r="H476" s="6" t="s">
        <v>20</v>
      </c>
      <c r="I476" s="4" t="s">
        <v>138</v>
      </c>
      <c r="J476" s="5" t="s">
        <v>18</v>
      </c>
      <c r="K476" s="6" t="s">
        <v>139</v>
      </c>
      <c r="L476" s="6" t="s">
        <v>255</v>
      </c>
      <c r="M476" s="15">
        <v>46217</v>
      </c>
      <c r="N476" s="16" t="str">
        <f>IFERROR(VLOOKUP(A476,[1]Hoja1!$A$2:$J$68,10,FALSE), " - ")</f>
        <v xml:space="preserve"> - </v>
      </c>
    </row>
    <row r="477" spans="1:14" x14ac:dyDescent="0.3">
      <c r="A477" s="2">
        <v>36670</v>
      </c>
      <c r="B477" s="2" t="s">
        <v>33</v>
      </c>
      <c r="C477" s="3" t="s">
        <v>13</v>
      </c>
      <c r="D477" s="2" t="s">
        <v>14</v>
      </c>
      <c r="E477" s="12">
        <v>46204</v>
      </c>
      <c r="F477" s="2" t="s">
        <v>15</v>
      </c>
      <c r="G477" s="3" t="s">
        <v>278</v>
      </c>
      <c r="H477" s="3" t="s">
        <v>20</v>
      </c>
      <c r="I477" s="4" t="s">
        <v>34</v>
      </c>
      <c r="J477" s="2" t="s">
        <v>18</v>
      </c>
      <c r="K477" s="3" t="s">
        <v>35</v>
      </c>
      <c r="L477" s="3" t="s">
        <v>364</v>
      </c>
      <c r="M477" s="15">
        <v>46217</v>
      </c>
      <c r="N477" s="16" t="str">
        <f>IFERROR(VLOOKUP(A477,[1]Hoja1!$A$2:$J$68,10,FALSE), " - ")</f>
        <v xml:space="preserve"> - </v>
      </c>
    </row>
    <row r="478" spans="1:14" x14ac:dyDescent="0.3">
      <c r="A478" s="5">
        <v>36670</v>
      </c>
      <c r="B478" s="5" t="s">
        <v>33</v>
      </c>
      <c r="C478" s="6" t="s">
        <v>13</v>
      </c>
      <c r="D478" s="5" t="s">
        <v>14</v>
      </c>
      <c r="E478" s="13">
        <v>46204</v>
      </c>
      <c r="F478" s="5" t="s">
        <v>15</v>
      </c>
      <c r="G478" s="6" t="s">
        <v>278</v>
      </c>
      <c r="H478" s="6" t="s">
        <v>20</v>
      </c>
      <c r="I478" s="4" t="s">
        <v>34</v>
      </c>
      <c r="J478" s="5" t="s">
        <v>18</v>
      </c>
      <c r="K478" s="6" t="s">
        <v>35</v>
      </c>
      <c r="L478" s="6" t="s">
        <v>364</v>
      </c>
      <c r="M478" s="15">
        <v>46217</v>
      </c>
      <c r="N478" s="16" t="str">
        <f>IFERROR(VLOOKUP(A478,[1]Hoja1!$A$2:$J$68,10,FALSE), " - ")</f>
        <v xml:space="preserve"> - </v>
      </c>
    </row>
    <row r="479" spans="1:14" x14ac:dyDescent="0.3">
      <c r="A479" s="2">
        <v>36673</v>
      </c>
      <c r="B479" s="2" t="s">
        <v>12</v>
      </c>
      <c r="C479" s="3" t="s">
        <v>13</v>
      </c>
      <c r="D479" s="2" t="s">
        <v>14</v>
      </c>
      <c r="E479" s="12">
        <v>46204</v>
      </c>
      <c r="F479" s="2" t="s">
        <v>15</v>
      </c>
      <c r="G479" s="3" t="s">
        <v>281</v>
      </c>
      <c r="H479" s="3" t="s">
        <v>137</v>
      </c>
      <c r="I479" s="7" t="s">
        <v>282</v>
      </c>
      <c r="J479" s="2" t="s">
        <v>18</v>
      </c>
      <c r="K479" s="3" t="s">
        <v>31</v>
      </c>
      <c r="L479" s="3" t="s">
        <v>32</v>
      </c>
      <c r="M479" s="15">
        <v>46217</v>
      </c>
      <c r="N479" s="16" t="str">
        <f>IFERROR(VLOOKUP(A479,[1]Hoja1!$A$2:$J$68,10,FALSE), " - ")</f>
        <v>FALTA MATERIAL</v>
      </c>
    </row>
    <row r="480" spans="1:14" x14ac:dyDescent="0.3">
      <c r="A480" s="5">
        <v>36674</v>
      </c>
      <c r="B480" s="5" t="s">
        <v>33</v>
      </c>
      <c r="C480" s="6" t="s">
        <v>13</v>
      </c>
      <c r="D480" s="5" t="s">
        <v>14</v>
      </c>
      <c r="E480" s="13">
        <v>46204</v>
      </c>
      <c r="F480" s="5" t="s">
        <v>15</v>
      </c>
      <c r="G480" s="6" t="s">
        <v>281</v>
      </c>
      <c r="H480" s="6" t="s">
        <v>137</v>
      </c>
      <c r="I480" s="4" t="s">
        <v>138</v>
      </c>
      <c r="J480" s="5" t="s">
        <v>18</v>
      </c>
      <c r="K480" s="6" t="s">
        <v>139</v>
      </c>
      <c r="L480" s="6" t="s">
        <v>140</v>
      </c>
      <c r="M480" s="15">
        <v>46217</v>
      </c>
      <c r="N480" s="16" t="str">
        <f>IFERROR(VLOOKUP(A480,[1]Hoja1!$A$2:$J$68,10,FALSE), " - ")</f>
        <v xml:space="preserve"> - </v>
      </c>
    </row>
    <row r="481" spans="1:14" x14ac:dyDescent="0.3">
      <c r="A481" s="2">
        <v>36674</v>
      </c>
      <c r="B481" s="2" t="s">
        <v>33</v>
      </c>
      <c r="C481" s="3" t="s">
        <v>13</v>
      </c>
      <c r="D481" s="2" t="s">
        <v>14</v>
      </c>
      <c r="E481" s="12">
        <v>46204</v>
      </c>
      <c r="F481" s="2" t="s">
        <v>15</v>
      </c>
      <c r="G481" s="3" t="s">
        <v>281</v>
      </c>
      <c r="H481" s="3" t="s">
        <v>137</v>
      </c>
      <c r="I481" s="4" t="s">
        <v>138</v>
      </c>
      <c r="J481" s="2" t="s">
        <v>18</v>
      </c>
      <c r="K481" s="3" t="s">
        <v>139</v>
      </c>
      <c r="L481" s="3" t="s">
        <v>140</v>
      </c>
      <c r="M481" s="15">
        <v>46217</v>
      </c>
      <c r="N481" s="16" t="str">
        <f>IFERROR(VLOOKUP(A481,[1]Hoja1!$A$2:$J$68,10,FALSE), " - ")</f>
        <v xml:space="preserve"> - </v>
      </c>
    </row>
    <row r="482" spans="1:14" x14ac:dyDescent="0.3">
      <c r="A482" s="2">
        <v>36675</v>
      </c>
      <c r="B482" s="2" t="s">
        <v>33</v>
      </c>
      <c r="C482" s="3" t="s">
        <v>13</v>
      </c>
      <c r="D482" s="2" t="s">
        <v>14</v>
      </c>
      <c r="E482" s="12">
        <v>46204</v>
      </c>
      <c r="F482" s="2" t="s">
        <v>15</v>
      </c>
      <c r="G482" s="3" t="s">
        <v>281</v>
      </c>
      <c r="H482" s="3" t="s">
        <v>137</v>
      </c>
      <c r="I482" s="4" t="s">
        <v>34</v>
      </c>
      <c r="J482" s="2" t="s">
        <v>18</v>
      </c>
      <c r="K482" s="3" t="s">
        <v>35</v>
      </c>
      <c r="L482" s="3" t="s">
        <v>352</v>
      </c>
      <c r="M482" s="15">
        <v>46217</v>
      </c>
      <c r="N482" s="16" t="str">
        <f>IFERROR(VLOOKUP(A482,[1]Hoja1!$A$2:$J$68,10,FALSE), " - ")</f>
        <v xml:space="preserve"> - </v>
      </c>
    </row>
    <row r="483" spans="1:14" x14ac:dyDescent="0.3">
      <c r="A483" s="2">
        <v>36681</v>
      </c>
      <c r="B483" s="2" t="s">
        <v>12</v>
      </c>
      <c r="C483" s="3" t="s">
        <v>80</v>
      </c>
      <c r="D483" s="2" t="s">
        <v>14</v>
      </c>
      <c r="E483" s="12">
        <v>46204</v>
      </c>
      <c r="F483" s="2" t="s">
        <v>15</v>
      </c>
      <c r="G483" s="3" t="s">
        <v>839</v>
      </c>
      <c r="H483" s="3" t="s">
        <v>463</v>
      </c>
      <c r="I483" s="7" t="s">
        <v>840</v>
      </c>
      <c r="J483" s="2" t="s">
        <v>61</v>
      </c>
      <c r="K483" s="3" t="s">
        <v>31</v>
      </c>
      <c r="L483" s="3" t="s">
        <v>32</v>
      </c>
      <c r="M483" s="15">
        <v>46217</v>
      </c>
      <c r="N483" s="16" t="str">
        <f>IFERROR(VLOOKUP(A483,[1]Hoja1!$A$2:$J$68,10,FALSE), " - ")</f>
        <v xml:space="preserve"> - </v>
      </c>
    </row>
    <row r="484" spans="1:14" x14ac:dyDescent="0.3">
      <c r="A484" s="5">
        <v>36683</v>
      </c>
      <c r="B484" s="5" t="s">
        <v>12</v>
      </c>
      <c r="C484" s="6" t="s">
        <v>80</v>
      </c>
      <c r="D484" s="5" t="s">
        <v>14</v>
      </c>
      <c r="E484" s="13">
        <v>46204</v>
      </c>
      <c r="F484" s="5" t="s">
        <v>15</v>
      </c>
      <c r="G484" s="6" t="s">
        <v>431</v>
      </c>
      <c r="H484" s="6" t="s">
        <v>137</v>
      </c>
      <c r="I484" s="8" t="s">
        <v>307</v>
      </c>
      <c r="J484" s="5" t="s">
        <v>61</v>
      </c>
      <c r="K484" s="6" t="s">
        <v>69</v>
      </c>
      <c r="L484" s="6" t="s">
        <v>729</v>
      </c>
      <c r="M484" s="15">
        <v>46217</v>
      </c>
      <c r="N484" s="16" t="str">
        <f>IFERROR(VLOOKUP(A484,[1]Hoja1!$A$2:$J$68,10,FALSE), " - ")</f>
        <v xml:space="preserve"> - </v>
      </c>
    </row>
    <row r="485" spans="1:14" x14ac:dyDescent="0.3">
      <c r="A485" s="5">
        <v>36683</v>
      </c>
      <c r="B485" s="5" t="s">
        <v>12</v>
      </c>
      <c r="C485" s="6" t="s">
        <v>80</v>
      </c>
      <c r="D485" s="5" t="s">
        <v>14</v>
      </c>
      <c r="E485" s="13">
        <v>46204</v>
      </c>
      <c r="F485" s="5" t="s">
        <v>15</v>
      </c>
      <c r="G485" s="6" t="s">
        <v>431</v>
      </c>
      <c r="H485" s="6" t="s">
        <v>137</v>
      </c>
      <c r="I485" s="8" t="s">
        <v>785</v>
      </c>
      <c r="J485" s="5" t="s">
        <v>61</v>
      </c>
      <c r="K485" s="6" t="s">
        <v>69</v>
      </c>
      <c r="L485" s="6" t="s">
        <v>729</v>
      </c>
      <c r="M485" s="15">
        <v>46217</v>
      </c>
      <c r="N485" s="16" t="str">
        <f>IFERROR(VLOOKUP(A485,[1]Hoja1!$A$2:$J$68,10,FALSE), " - ")</f>
        <v xml:space="preserve"> - </v>
      </c>
    </row>
    <row r="486" spans="1:14" x14ac:dyDescent="0.3">
      <c r="A486" s="5">
        <v>36690</v>
      </c>
      <c r="B486" s="5" t="s">
        <v>33</v>
      </c>
      <c r="C486" s="6" t="s">
        <v>13</v>
      </c>
      <c r="D486" s="5" t="s">
        <v>14</v>
      </c>
      <c r="E486" s="13">
        <v>46204</v>
      </c>
      <c r="F486" s="5" t="s">
        <v>15</v>
      </c>
      <c r="G486" s="6" t="s">
        <v>129</v>
      </c>
      <c r="H486" s="6" t="s">
        <v>130</v>
      </c>
      <c r="I486" s="4" t="s">
        <v>138</v>
      </c>
      <c r="J486" s="5" t="s">
        <v>18</v>
      </c>
      <c r="K486" s="6" t="s">
        <v>139</v>
      </c>
      <c r="L486" s="6" t="s">
        <v>541</v>
      </c>
      <c r="M486" s="15">
        <v>46217</v>
      </c>
      <c r="N486" s="16" t="str">
        <f>IFERROR(VLOOKUP(A486,[1]Hoja1!$A$2:$J$68,10,FALSE), " - ")</f>
        <v xml:space="preserve"> - </v>
      </c>
    </row>
    <row r="487" spans="1:14" x14ac:dyDescent="0.3">
      <c r="A487" s="5">
        <v>36691</v>
      </c>
      <c r="B487" s="5" t="s">
        <v>33</v>
      </c>
      <c r="C487" s="6" t="s">
        <v>13</v>
      </c>
      <c r="D487" s="5" t="s">
        <v>14</v>
      </c>
      <c r="E487" s="13">
        <v>46204</v>
      </c>
      <c r="F487" s="5" t="s">
        <v>15</v>
      </c>
      <c r="G487" s="6" t="s">
        <v>129</v>
      </c>
      <c r="H487" s="6" t="s">
        <v>130</v>
      </c>
      <c r="I487" s="4" t="s">
        <v>34</v>
      </c>
      <c r="J487" s="5" t="s">
        <v>18</v>
      </c>
      <c r="K487" s="6" t="s">
        <v>35</v>
      </c>
      <c r="L487" s="6" t="s">
        <v>372</v>
      </c>
      <c r="M487" s="15">
        <v>46217</v>
      </c>
      <c r="N487" s="16" t="str">
        <f>IFERROR(VLOOKUP(A487,[1]Hoja1!$A$2:$J$68,10,FALSE), " - ")</f>
        <v xml:space="preserve"> - </v>
      </c>
    </row>
    <row r="488" spans="1:14" x14ac:dyDescent="0.3">
      <c r="A488" s="2">
        <v>37003</v>
      </c>
      <c r="B488" s="2" t="s">
        <v>12</v>
      </c>
      <c r="C488" s="3" t="s">
        <v>57</v>
      </c>
      <c r="D488" s="2" t="s">
        <v>14</v>
      </c>
      <c r="E488" s="12">
        <v>46204</v>
      </c>
      <c r="F488" s="2" t="s">
        <v>15</v>
      </c>
      <c r="G488" s="3" t="s">
        <v>16</v>
      </c>
      <c r="H488" s="3" t="s">
        <v>17</v>
      </c>
      <c r="I488" s="7" t="s">
        <v>179</v>
      </c>
      <c r="J488" s="2" t="s">
        <v>18</v>
      </c>
      <c r="K488" s="3" t="s">
        <v>31</v>
      </c>
      <c r="L488" s="3" t="s">
        <v>32</v>
      </c>
      <c r="M488" s="15">
        <v>46217</v>
      </c>
      <c r="N488" s="16" t="str">
        <f>IFERROR(VLOOKUP(A488,[1]Hoja1!$A$2:$J$68,10,FALSE), " - ")</f>
        <v>FALTA MATERIAL</v>
      </c>
    </row>
    <row r="489" spans="1:14" x14ac:dyDescent="0.3">
      <c r="A489" s="5">
        <v>37011</v>
      </c>
      <c r="B489" s="5" t="s">
        <v>12</v>
      </c>
      <c r="C489" s="6" t="s">
        <v>57</v>
      </c>
      <c r="D489" s="5" t="s">
        <v>14</v>
      </c>
      <c r="E489" s="13">
        <v>46204</v>
      </c>
      <c r="F489" s="5" t="s">
        <v>15</v>
      </c>
      <c r="G489" s="6" t="s">
        <v>85</v>
      </c>
      <c r="H489" s="6" t="s">
        <v>86</v>
      </c>
      <c r="I489" s="8" t="s">
        <v>307</v>
      </c>
      <c r="J489" s="5" t="s">
        <v>18</v>
      </c>
      <c r="K489" s="6" t="s">
        <v>69</v>
      </c>
      <c r="L489" s="6" t="s">
        <v>70</v>
      </c>
      <c r="M489" s="15">
        <v>46217</v>
      </c>
      <c r="N489" s="16" t="str">
        <f>IFERROR(VLOOKUP(A489,[1]Hoja1!$A$2:$J$68,10,FALSE), " - ")</f>
        <v>FALTA MATERIAL</v>
      </c>
    </row>
    <row r="490" spans="1:14" x14ac:dyDescent="0.3">
      <c r="A490" s="5">
        <v>36696</v>
      </c>
      <c r="B490" s="5" t="s">
        <v>12</v>
      </c>
      <c r="C490" s="6" t="s">
        <v>13</v>
      </c>
      <c r="D490" s="5" t="s">
        <v>14</v>
      </c>
      <c r="E490" s="13">
        <v>46205</v>
      </c>
      <c r="F490" s="5" t="s">
        <v>15</v>
      </c>
      <c r="G490" s="6" t="s">
        <v>19</v>
      </c>
      <c r="H490" s="6" t="s">
        <v>20</v>
      </c>
      <c r="I490" s="4" t="s">
        <v>21</v>
      </c>
      <c r="J490" s="5" t="s">
        <v>18</v>
      </c>
      <c r="K490" s="6" t="s">
        <v>22</v>
      </c>
      <c r="L490" s="6" t="s">
        <v>23</v>
      </c>
      <c r="M490" s="15">
        <v>46217</v>
      </c>
      <c r="N490" s="16" t="str">
        <f>IFERROR(VLOOKUP(A490,[1]Hoja1!$A$2:$J$68,10,FALSE), " - ")</f>
        <v>FALTA MATERIAL</v>
      </c>
    </row>
    <row r="491" spans="1:14" x14ac:dyDescent="0.3">
      <c r="A491" s="2">
        <v>36696</v>
      </c>
      <c r="B491" s="2" t="s">
        <v>12</v>
      </c>
      <c r="C491" s="3" t="s">
        <v>13</v>
      </c>
      <c r="D491" s="2" t="s">
        <v>14</v>
      </c>
      <c r="E491" s="12">
        <v>46205</v>
      </c>
      <c r="F491" s="2" t="s">
        <v>15</v>
      </c>
      <c r="G491" s="3" t="s">
        <v>19</v>
      </c>
      <c r="H491" s="3" t="s">
        <v>20</v>
      </c>
      <c r="I491" s="4" t="s">
        <v>24</v>
      </c>
      <c r="J491" s="2" t="s">
        <v>18</v>
      </c>
      <c r="K491" s="3" t="s">
        <v>25</v>
      </c>
      <c r="L491" s="3" t="s">
        <v>23</v>
      </c>
      <c r="M491" s="15">
        <v>46217</v>
      </c>
      <c r="N491" s="16" t="str">
        <f>IFERROR(VLOOKUP(A491,[1]Hoja1!$A$2:$J$68,10,FALSE), " - ")</f>
        <v>FALTA MATERIAL</v>
      </c>
    </row>
    <row r="492" spans="1:14" x14ac:dyDescent="0.3">
      <c r="A492" s="5">
        <v>36696</v>
      </c>
      <c r="B492" s="5" t="s">
        <v>12</v>
      </c>
      <c r="C492" s="6" t="s">
        <v>13</v>
      </c>
      <c r="D492" s="5" t="s">
        <v>14</v>
      </c>
      <c r="E492" s="13">
        <v>46205</v>
      </c>
      <c r="F492" s="5" t="s">
        <v>15</v>
      </c>
      <c r="G492" s="6" t="s">
        <v>19</v>
      </c>
      <c r="H492" s="6" t="s">
        <v>20</v>
      </c>
      <c r="I492" s="4" t="s">
        <v>165</v>
      </c>
      <c r="J492" s="5" t="s">
        <v>18</v>
      </c>
      <c r="K492" s="6" t="s">
        <v>166</v>
      </c>
      <c r="L492" s="6" t="s">
        <v>23</v>
      </c>
      <c r="M492" s="15">
        <v>46217</v>
      </c>
      <c r="N492" s="16" t="str">
        <f>IFERROR(VLOOKUP(A492,[1]Hoja1!$A$2:$J$68,10,FALSE), " - ")</f>
        <v>FALTA MATERIAL</v>
      </c>
    </row>
    <row r="493" spans="1:14" x14ac:dyDescent="0.3">
      <c r="A493" s="2">
        <v>36696</v>
      </c>
      <c r="B493" s="2" t="s">
        <v>12</v>
      </c>
      <c r="C493" s="3" t="s">
        <v>13</v>
      </c>
      <c r="D493" s="2" t="s">
        <v>14</v>
      </c>
      <c r="E493" s="12">
        <v>46205</v>
      </c>
      <c r="F493" s="2" t="s">
        <v>15</v>
      </c>
      <c r="G493" s="3" t="s">
        <v>19</v>
      </c>
      <c r="H493" s="3" t="s">
        <v>20</v>
      </c>
      <c r="I493" s="4" t="s">
        <v>165</v>
      </c>
      <c r="J493" s="2" t="s">
        <v>18</v>
      </c>
      <c r="K493" s="3" t="s">
        <v>166</v>
      </c>
      <c r="L493" s="3" t="s">
        <v>23</v>
      </c>
      <c r="M493" s="15">
        <v>46217</v>
      </c>
      <c r="N493" s="16" t="str">
        <f>IFERROR(VLOOKUP(A493,[1]Hoja1!$A$2:$J$68,10,FALSE), " - ")</f>
        <v>FALTA MATERIAL</v>
      </c>
    </row>
    <row r="494" spans="1:14" x14ac:dyDescent="0.3">
      <c r="A494" s="5">
        <v>36696</v>
      </c>
      <c r="B494" s="5" t="s">
        <v>12</v>
      </c>
      <c r="C494" s="6" t="s">
        <v>13</v>
      </c>
      <c r="D494" s="5" t="s">
        <v>14</v>
      </c>
      <c r="E494" s="13">
        <v>46205</v>
      </c>
      <c r="F494" s="5" t="s">
        <v>15</v>
      </c>
      <c r="G494" s="6" t="s">
        <v>19</v>
      </c>
      <c r="H494" s="6" t="s">
        <v>20</v>
      </c>
      <c r="I494" s="4" t="s">
        <v>593</v>
      </c>
      <c r="J494" s="5" t="s">
        <v>18</v>
      </c>
      <c r="K494" s="6" t="s">
        <v>25</v>
      </c>
      <c r="L494" s="6" t="s">
        <v>23</v>
      </c>
      <c r="M494" s="15">
        <v>46217</v>
      </c>
      <c r="N494" s="16" t="str">
        <f>IFERROR(VLOOKUP(A494,[1]Hoja1!$A$2:$J$68,10,FALSE), " - ")</f>
        <v>FALTA MATERIAL</v>
      </c>
    </row>
    <row r="495" spans="1:14" x14ac:dyDescent="0.3">
      <c r="A495" s="2">
        <v>36699</v>
      </c>
      <c r="B495" s="2" t="s">
        <v>33</v>
      </c>
      <c r="C495" s="3" t="s">
        <v>13</v>
      </c>
      <c r="D495" s="2" t="s">
        <v>14</v>
      </c>
      <c r="E495" s="12">
        <v>46205</v>
      </c>
      <c r="F495" s="2" t="s">
        <v>15</v>
      </c>
      <c r="G495" s="3" t="s">
        <v>283</v>
      </c>
      <c r="H495" s="3" t="s">
        <v>177</v>
      </c>
      <c r="I495" s="4" t="s">
        <v>138</v>
      </c>
      <c r="J495" s="2" t="s">
        <v>18</v>
      </c>
      <c r="K495" s="3" t="s">
        <v>139</v>
      </c>
      <c r="L495" s="3" t="s">
        <v>284</v>
      </c>
      <c r="M495" s="15">
        <v>46217</v>
      </c>
      <c r="N495" s="16" t="str">
        <f>IFERROR(VLOOKUP(A495,[1]Hoja1!$A$2:$J$68,10,FALSE), " - ")</f>
        <v xml:space="preserve"> - </v>
      </c>
    </row>
    <row r="496" spans="1:14" x14ac:dyDescent="0.3">
      <c r="A496" s="2">
        <v>36699</v>
      </c>
      <c r="B496" s="2" t="s">
        <v>33</v>
      </c>
      <c r="C496" s="3" t="s">
        <v>13</v>
      </c>
      <c r="D496" s="2" t="s">
        <v>14</v>
      </c>
      <c r="E496" s="12">
        <v>46205</v>
      </c>
      <c r="F496" s="2" t="s">
        <v>15</v>
      </c>
      <c r="G496" s="3" t="s">
        <v>283</v>
      </c>
      <c r="H496" s="3" t="s">
        <v>177</v>
      </c>
      <c r="I496" s="4" t="s">
        <v>138</v>
      </c>
      <c r="J496" s="2" t="s">
        <v>18</v>
      </c>
      <c r="K496" s="3" t="s">
        <v>139</v>
      </c>
      <c r="L496" s="3" t="s">
        <v>284</v>
      </c>
      <c r="M496" s="15">
        <v>46217</v>
      </c>
      <c r="N496" s="16" t="str">
        <f>IFERROR(VLOOKUP(A496,[1]Hoja1!$A$2:$J$68,10,FALSE), " - ")</f>
        <v xml:space="preserve"> - </v>
      </c>
    </row>
    <row r="497" spans="1:14" x14ac:dyDescent="0.3">
      <c r="A497" s="2">
        <v>36700</v>
      </c>
      <c r="B497" s="2" t="s">
        <v>33</v>
      </c>
      <c r="C497" s="3" t="s">
        <v>13</v>
      </c>
      <c r="D497" s="2" t="s">
        <v>14</v>
      </c>
      <c r="E497" s="12">
        <v>46205</v>
      </c>
      <c r="F497" s="2" t="s">
        <v>15</v>
      </c>
      <c r="G497" s="3" t="s">
        <v>283</v>
      </c>
      <c r="H497" s="3" t="s">
        <v>177</v>
      </c>
      <c r="I497" s="7" t="s">
        <v>34</v>
      </c>
      <c r="J497" s="2" t="s">
        <v>18</v>
      </c>
      <c r="K497" s="3" t="s">
        <v>31</v>
      </c>
      <c r="L497" s="3" t="s">
        <v>32</v>
      </c>
      <c r="M497" s="15">
        <v>46217</v>
      </c>
      <c r="N497" s="16" t="str">
        <f>IFERROR(VLOOKUP(A497,[1]Hoja1!$A$2:$J$68,10,FALSE), " - ")</f>
        <v>FALTA MATERIAL</v>
      </c>
    </row>
    <row r="498" spans="1:14" x14ac:dyDescent="0.3">
      <c r="A498" s="5">
        <v>36703</v>
      </c>
      <c r="B498" s="5" t="s">
        <v>12</v>
      </c>
      <c r="C498" s="6" t="s">
        <v>13</v>
      </c>
      <c r="D498" s="5" t="s">
        <v>14</v>
      </c>
      <c r="E498" s="13">
        <v>46205</v>
      </c>
      <c r="F498" s="5" t="s">
        <v>15</v>
      </c>
      <c r="G498" s="6" t="s">
        <v>786</v>
      </c>
      <c r="H498" s="6" t="s">
        <v>47</v>
      </c>
      <c r="I498" s="4" t="s">
        <v>221</v>
      </c>
      <c r="J498" s="5" t="s">
        <v>18</v>
      </c>
      <c r="K498" s="6" t="s">
        <v>35</v>
      </c>
      <c r="L498" s="6" t="s">
        <v>787</v>
      </c>
      <c r="M498" s="15">
        <v>46217</v>
      </c>
      <c r="N498" s="16" t="str">
        <f>IFERROR(VLOOKUP(A498,[1]Hoja1!$A$2:$J$68,10,FALSE), " - ")</f>
        <v xml:space="preserve"> - </v>
      </c>
    </row>
    <row r="499" spans="1:14" x14ac:dyDescent="0.3">
      <c r="A499" s="5">
        <v>36850</v>
      </c>
      <c r="B499" s="5" t="s">
        <v>62</v>
      </c>
      <c r="C499" s="6" t="s">
        <v>63</v>
      </c>
      <c r="D499" s="5" t="s">
        <v>14</v>
      </c>
      <c r="E499" s="13">
        <v>46205</v>
      </c>
      <c r="F499" s="5" t="s">
        <v>15</v>
      </c>
      <c r="G499" s="6" t="s">
        <v>64</v>
      </c>
      <c r="H499" s="6" t="s">
        <v>65</v>
      </c>
      <c r="I499" s="7" t="s">
        <v>66</v>
      </c>
      <c r="J499" s="5" t="s">
        <v>61</v>
      </c>
      <c r="K499" s="6" t="s">
        <v>31</v>
      </c>
      <c r="L499" s="6" t="s">
        <v>32</v>
      </c>
      <c r="M499" s="15">
        <v>46217</v>
      </c>
      <c r="N499" s="16" t="str">
        <f>IFERROR(VLOOKUP(A499,[1]Hoja1!$A$2:$J$68,10,FALSE), " - ")</f>
        <v xml:space="preserve"> - </v>
      </c>
    </row>
    <row r="500" spans="1:14" x14ac:dyDescent="0.3">
      <c r="A500" s="2">
        <v>36851</v>
      </c>
      <c r="B500" s="2" t="s">
        <v>12</v>
      </c>
      <c r="C500" s="3" t="s">
        <v>63</v>
      </c>
      <c r="D500" s="2" t="s">
        <v>14</v>
      </c>
      <c r="E500" s="12">
        <v>46205</v>
      </c>
      <c r="F500" s="2" t="s">
        <v>15</v>
      </c>
      <c r="G500" s="3" t="s">
        <v>385</v>
      </c>
      <c r="H500" s="3" t="s">
        <v>366</v>
      </c>
      <c r="I500" s="8" t="s">
        <v>386</v>
      </c>
      <c r="J500" s="2" t="s">
        <v>61</v>
      </c>
      <c r="K500" s="3" t="s">
        <v>69</v>
      </c>
      <c r="L500" s="3" t="s">
        <v>387</v>
      </c>
      <c r="M500" s="15">
        <v>46217</v>
      </c>
      <c r="N500" s="16" t="str">
        <f>IFERROR(VLOOKUP(A500,[1]Hoja1!$A$2:$J$68,10,FALSE), " - ")</f>
        <v xml:space="preserve"> - </v>
      </c>
    </row>
    <row r="501" spans="1:14" x14ac:dyDescent="0.3">
      <c r="A501" s="2">
        <v>36852</v>
      </c>
      <c r="B501" s="2" t="s">
        <v>12</v>
      </c>
      <c r="C501" s="3" t="s">
        <v>63</v>
      </c>
      <c r="D501" s="2" t="s">
        <v>14</v>
      </c>
      <c r="E501" s="12">
        <v>46205</v>
      </c>
      <c r="F501" s="2" t="s">
        <v>15</v>
      </c>
      <c r="G501" s="3" t="s">
        <v>320</v>
      </c>
      <c r="H501" s="3" t="s">
        <v>29</v>
      </c>
      <c r="I501" s="4" t="s">
        <v>321</v>
      </c>
      <c r="J501" s="2" t="s">
        <v>61</v>
      </c>
      <c r="K501" s="3" t="s">
        <v>322</v>
      </c>
      <c r="L501" s="3" t="s">
        <v>323</v>
      </c>
      <c r="M501" s="15">
        <v>46217</v>
      </c>
      <c r="N501" s="16" t="str">
        <f>IFERROR(VLOOKUP(A501,[1]Hoja1!$A$2:$J$68,10,FALSE), " - ")</f>
        <v xml:space="preserve"> - </v>
      </c>
    </row>
    <row r="502" spans="1:14" x14ac:dyDescent="0.3">
      <c r="A502" s="5">
        <v>36854</v>
      </c>
      <c r="B502" s="5" t="s">
        <v>12</v>
      </c>
      <c r="C502" s="6" t="s">
        <v>63</v>
      </c>
      <c r="D502" s="5" t="s">
        <v>14</v>
      </c>
      <c r="E502" s="13">
        <v>46205</v>
      </c>
      <c r="F502" s="5" t="s">
        <v>15</v>
      </c>
      <c r="G502" s="6" t="s">
        <v>388</v>
      </c>
      <c r="H502" s="6" t="s">
        <v>29</v>
      </c>
      <c r="I502" s="4" t="s">
        <v>362</v>
      </c>
      <c r="J502" s="5" t="s">
        <v>61</v>
      </c>
      <c r="K502" s="6" t="s">
        <v>35</v>
      </c>
      <c r="L502" s="6" t="s">
        <v>389</v>
      </c>
      <c r="M502" s="15">
        <v>46217</v>
      </c>
      <c r="N502" s="16" t="str">
        <f>IFERROR(VLOOKUP(A502,[1]Hoja1!$A$2:$J$68,10,FALSE), " - ")</f>
        <v xml:space="preserve"> - </v>
      </c>
    </row>
    <row r="503" spans="1:14" x14ac:dyDescent="0.3">
      <c r="A503" s="2">
        <v>36855</v>
      </c>
      <c r="B503" s="2" t="s">
        <v>12</v>
      </c>
      <c r="C503" s="3" t="s">
        <v>63</v>
      </c>
      <c r="D503" s="2" t="s">
        <v>14</v>
      </c>
      <c r="E503" s="12">
        <v>46205</v>
      </c>
      <c r="F503" s="2" t="s">
        <v>15</v>
      </c>
      <c r="G503" s="3" t="s">
        <v>245</v>
      </c>
      <c r="H503" s="3" t="s">
        <v>189</v>
      </c>
      <c r="I503" s="4" t="s">
        <v>106</v>
      </c>
      <c r="J503" s="2" t="s">
        <v>61</v>
      </c>
      <c r="K503" s="3" t="s">
        <v>107</v>
      </c>
      <c r="L503" s="3" t="s">
        <v>611</v>
      </c>
      <c r="M503" s="15">
        <v>46217</v>
      </c>
      <c r="N503" s="16" t="str">
        <f>IFERROR(VLOOKUP(A503,[1]Hoja1!$A$2:$J$68,10,FALSE), " - ")</f>
        <v xml:space="preserve"> - </v>
      </c>
    </row>
    <row r="504" spans="1:14" x14ac:dyDescent="0.3">
      <c r="A504" s="2">
        <v>36863</v>
      </c>
      <c r="B504" s="2" t="s">
        <v>12</v>
      </c>
      <c r="C504" s="3" t="s">
        <v>13</v>
      </c>
      <c r="D504" s="2" t="s">
        <v>14</v>
      </c>
      <c r="E504" s="12">
        <v>46206</v>
      </c>
      <c r="F504" s="2" t="s">
        <v>15</v>
      </c>
      <c r="G504" s="3" t="s">
        <v>503</v>
      </c>
      <c r="H504" s="3" t="s">
        <v>366</v>
      </c>
      <c r="I504" s="4" t="s">
        <v>855</v>
      </c>
      <c r="J504" s="2" t="s">
        <v>18</v>
      </c>
      <c r="K504" s="3" t="s">
        <v>655</v>
      </c>
      <c r="L504" s="3" t="s">
        <v>856</v>
      </c>
      <c r="M504" s="15">
        <v>46217</v>
      </c>
      <c r="N504" s="16" t="str">
        <f>IFERROR(VLOOKUP(A504,[1]Hoja1!$A$2:$J$68,10,FALSE), " - ")</f>
        <v>FALTA MATERIAL</v>
      </c>
    </row>
    <row r="505" spans="1:14" x14ac:dyDescent="0.3">
      <c r="A505" s="5">
        <v>36888</v>
      </c>
      <c r="B505" s="5" t="s">
        <v>12</v>
      </c>
      <c r="C505" s="6" t="s">
        <v>13</v>
      </c>
      <c r="D505" s="5" t="s">
        <v>14</v>
      </c>
      <c r="E505" s="13">
        <v>46208</v>
      </c>
      <c r="F505" s="5" t="s">
        <v>15</v>
      </c>
      <c r="G505" s="6" t="s">
        <v>340</v>
      </c>
      <c r="H505" s="6" t="s">
        <v>341</v>
      </c>
      <c r="I505" s="4" t="s">
        <v>342</v>
      </c>
      <c r="J505" s="5" t="s">
        <v>18</v>
      </c>
      <c r="K505" s="6" t="s">
        <v>35</v>
      </c>
      <c r="L505" s="6" t="s">
        <v>343</v>
      </c>
      <c r="M505" s="15">
        <v>46217</v>
      </c>
      <c r="N505" s="16" t="str">
        <f>IFERROR(VLOOKUP(A505,[1]Hoja1!$A$2:$J$68,10,FALSE), " - ")</f>
        <v>FALTA MATERIAL</v>
      </c>
    </row>
    <row r="506" spans="1:14" x14ac:dyDescent="0.3">
      <c r="A506" s="2">
        <v>36888</v>
      </c>
      <c r="B506" s="2" t="s">
        <v>12</v>
      </c>
      <c r="C506" s="3" t="s">
        <v>13</v>
      </c>
      <c r="D506" s="2" t="s">
        <v>14</v>
      </c>
      <c r="E506" s="12">
        <v>46208</v>
      </c>
      <c r="F506" s="2" t="s">
        <v>15</v>
      </c>
      <c r="G506" s="3" t="s">
        <v>340</v>
      </c>
      <c r="H506" s="3" t="s">
        <v>341</v>
      </c>
      <c r="I506" s="4" t="s">
        <v>344</v>
      </c>
      <c r="J506" s="2" t="s">
        <v>18</v>
      </c>
      <c r="K506" s="3" t="s">
        <v>345</v>
      </c>
      <c r="L506" s="3" t="s">
        <v>343</v>
      </c>
      <c r="M506" s="15">
        <v>46217</v>
      </c>
      <c r="N506" s="16" t="str">
        <f>IFERROR(VLOOKUP(A506,[1]Hoja1!$A$2:$J$68,10,FALSE), " - ")</f>
        <v>FALTA MATERIAL</v>
      </c>
    </row>
    <row r="507" spans="1:14" x14ac:dyDescent="0.3">
      <c r="A507" s="2">
        <v>36888</v>
      </c>
      <c r="B507" s="2" t="s">
        <v>12</v>
      </c>
      <c r="C507" s="3" t="s">
        <v>13</v>
      </c>
      <c r="D507" s="2" t="s">
        <v>14</v>
      </c>
      <c r="E507" s="12">
        <v>46208</v>
      </c>
      <c r="F507" s="2" t="s">
        <v>15</v>
      </c>
      <c r="G507" s="3" t="s">
        <v>340</v>
      </c>
      <c r="H507" s="3" t="s">
        <v>341</v>
      </c>
      <c r="I507" s="4" t="s">
        <v>344</v>
      </c>
      <c r="J507" s="2" t="s">
        <v>18</v>
      </c>
      <c r="K507" s="3" t="s">
        <v>345</v>
      </c>
      <c r="L507" s="3" t="s">
        <v>343</v>
      </c>
      <c r="M507" s="15">
        <v>46217</v>
      </c>
      <c r="N507" s="16" t="str">
        <f>IFERROR(VLOOKUP(A507,[1]Hoja1!$A$2:$J$68,10,FALSE), " - ")</f>
        <v>FALTA MATERIAL</v>
      </c>
    </row>
    <row r="508" spans="1:14" x14ac:dyDescent="0.3">
      <c r="A508" s="2">
        <v>36891</v>
      </c>
      <c r="B508" s="2" t="s">
        <v>33</v>
      </c>
      <c r="C508" s="3" t="s">
        <v>13</v>
      </c>
      <c r="D508" s="2" t="s">
        <v>14</v>
      </c>
      <c r="E508" s="12">
        <v>46208</v>
      </c>
      <c r="F508" s="2" t="s">
        <v>15</v>
      </c>
      <c r="G508" s="3" t="s">
        <v>46</v>
      </c>
      <c r="H508" s="3" t="s">
        <v>47</v>
      </c>
      <c r="I508" s="4" t="s">
        <v>138</v>
      </c>
      <c r="J508" s="2" t="s">
        <v>18</v>
      </c>
      <c r="K508" s="3" t="s">
        <v>139</v>
      </c>
      <c r="L508" s="3" t="s">
        <v>591</v>
      </c>
      <c r="M508" s="15">
        <v>46217</v>
      </c>
      <c r="N508" s="16" t="str">
        <f>IFERROR(VLOOKUP(A508,[1]Hoja1!$A$2:$J$68,10,FALSE), " - ")</f>
        <v xml:space="preserve"> - </v>
      </c>
    </row>
    <row r="509" spans="1:14" x14ac:dyDescent="0.3">
      <c r="A509" s="5">
        <v>36892</v>
      </c>
      <c r="B509" s="5" t="s">
        <v>33</v>
      </c>
      <c r="C509" s="6" t="s">
        <v>13</v>
      </c>
      <c r="D509" s="5" t="s">
        <v>14</v>
      </c>
      <c r="E509" s="13">
        <v>46208</v>
      </c>
      <c r="F509" s="5" t="s">
        <v>15</v>
      </c>
      <c r="G509" s="6" t="s">
        <v>46</v>
      </c>
      <c r="H509" s="6" t="s">
        <v>47</v>
      </c>
      <c r="I509" s="4" t="s">
        <v>34</v>
      </c>
      <c r="J509" s="5" t="s">
        <v>18</v>
      </c>
      <c r="K509" s="6" t="s">
        <v>35</v>
      </c>
      <c r="L509" s="6" t="s">
        <v>48</v>
      </c>
      <c r="M509" s="15">
        <v>46217</v>
      </c>
      <c r="N509" s="16" t="str">
        <f>IFERROR(VLOOKUP(A509,[1]Hoja1!$A$2:$J$68,10,FALSE), " - ")</f>
        <v xml:space="preserve"> - </v>
      </c>
    </row>
    <row r="510" spans="1:14" x14ac:dyDescent="0.3">
      <c r="A510" s="5">
        <v>36897</v>
      </c>
      <c r="B510" s="5" t="s">
        <v>12</v>
      </c>
      <c r="C510" s="6" t="s">
        <v>80</v>
      </c>
      <c r="D510" s="5" t="s">
        <v>14</v>
      </c>
      <c r="E510" s="13">
        <v>46208</v>
      </c>
      <c r="F510" s="5" t="s">
        <v>15</v>
      </c>
      <c r="G510" s="6" t="s">
        <v>182</v>
      </c>
      <c r="H510" s="6" t="s">
        <v>137</v>
      </c>
      <c r="I510" s="4" t="s">
        <v>95</v>
      </c>
      <c r="J510" s="5" t="s">
        <v>61</v>
      </c>
      <c r="K510" s="6" t="s">
        <v>35</v>
      </c>
      <c r="L510" s="6" t="s">
        <v>599</v>
      </c>
      <c r="M510" s="15">
        <v>46217</v>
      </c>
      <c r="N510" s="16" t="str">
        <f>IFERROR(VLOOKUP(A510,[1]Hoja1!$A$2:$J$68,10,FALSE), " - ")</f>
        <v xml:space="preserve"> - </v>
      </c>
    </row>
    <row r="511" spans="1:14" x14ac:dyDescent="0.3">
      <c r="A511" s="2">
        <v>36901</v>
      </c>
      <c r="B511" s="2" t="s">
        <v>12</v>
      </c>
      <c r="C511" s="3" t="s">
        <v>80</v>
      </c>
      <c r="D511" s="2" t="s">
        <v>14</v>
      </c>
      <c r="E511" s="12">
        <v>46208</v>
      </c>
      <c r="F511" s="2" t="s">
        <v>15</v>
      </c>
      <c r="G511" s="3" t="s">
        <v>546</v>
      </c>
      <c r="H511" s="3" t="s">
        <v>91</v>
      </c>
      <c r="I511" s="8" t="s">
        <v>547</v>
      </c>
      <c r="J511" s="2" t="s">
        <v>18</v>
      </c>
      <c r="K511" s="3" t="s">
        <v>69</v>
      </c>
      <c r="L511" s="3" t="s">
        <v>548</v>
      </c>
      <c r="M511" s="15">
        <v>46217</v>
      </c>
      <c r="N511" s="16" t="str">
        <f>IFERROR(VLOOKUP(A511,[1]Hoja1!$A$2:$J$68,10,FALSE), " - ")</f>
        <v xml:space="preserve"> - </v>
      </c>
    </row>
    <row r="512" spans="1:14" x14ac:dyDescent="0.3">
      <c r="A512" s="2">
        <v>36901</v>
      </c>
      <c r="B512" s="2" t="s">
        <v>12</v>
      </c>
      <c r="C512" s="3" t="s">
        <v>80</v>
      </c>
      <c r="D512" s="2" t="s">
        <v>14</v>
      </c>
      <c r="E512" s="12">
        <v>46208</v>
      </c>
      <c r="F512" s="2" t="s">
        <v>15</v>
      </c>
      <c r="G512" s="3" t="s">
        <v>546</v>
      </c>
      <c r="H512" s="3" t="s">
        <v>91</v>
      </c>
      <c r="I512" s="8" t="s">
        <v>743</v>
      </c>
      <c r="J512" s="2" t="s">
        <v>18</v>
      </c>
      <c r="K512" s="3" t="s">
        <v>69</v>
      </c>
      <c r="L512" s="3" t="s">
        <v>548</v>
      </c>
      <c r="M512" s="15">
        <v>46217</v>
      </c>
      <c r="N512" s="16" t="str">
        <f>IFERROR(VLOOKUP(A512,[1]Hoja1!$A$2:$J$68,10,FALSE), " - ")</f>
        <v xml:space="preserve"> - </v>
      </c>
    </row>
    <row r="513" spans="1:14" x14ac:dyDescent="0.3">
      <c r="A513" s="2">
        <v>36908</v>
      </c>
      <c r="B513" s="2" t="s">
        <v>12</v>
      </c>
      <c r="C513" s="3" t="s">
        <v>13</v>
      </c>
      <c r="D513" s="2" t="s">
        <v>14</v>
      </c>
      <c r="E513" s="12">
        <v>46208</v>
      </c>
      <c r="F513" s="2" t="s">
        <v>15</v>
      </c>
      <c r="G513" s="3" t="s">
        <v>300</v>
      </c>
      <c r="H513" s="3" t="s">
        <v>65</v>
      </c>
      <c r="I513" s="7" t="s">
        <v>301</v>
      </c>
      <c r="J513" s="2" t="s">
        <v>18</v>
      </c>
      <c r="K513" s="3" t="s">
        <v>31</v>
      </c>
      <c r="L513" s="3" t="s">
        <v>32</v>
      </c>
      <c r="M513" s="15">
        <v>46217</v>
      </c>
      <c r="N513" s="16" t="str">
        <f>IFERROR(VLOOKUP(A513,[1]Hoja1!$A$2:$J$68,10,FALSE), " - ")</f>
        <v>FALTA MATERIAL</v>
      </c>
    </row>
    <row r="514" spans="1:14" x14ac:dyDescent="0.3">
      <c r="A514" s="2">
        <v>36909</v>
      </c>
      <c r="B514" s="2" t="s">
        <v>12</v>
      </c>
      <c r="C514" s="3" t="s">
        <v>63</v>
      </c>
      <c r="D514" s="2" t="s">
        <v>14</v>
      </c>
      <c r="E514" s="12">
        <v>46208</v>
      </c>
      <c r="F514" s="2" t="s">
        <v>15</v>
      </c>
      <c r="G514" s="3" t="s">
        <v>174</v>
      </c>
      <c r="H514" s="3" t="s">
        <v>38</v>
      </c>
      <c r="I514" s="4" t="s">
        <v>165</v>
      </c>
      <c r="J514" s="2" t="s">
        <v>61</v>
      </c>
      <c r="K514" s="3" t="s">
        <v>166</v>
      </c>
      <c r="L514" s="3" t="s">
        <v>175</v>
      </c>
      <c r="M514" s="15">
        <v>46217</v>
      </c>
      <c r="N514" s="16" t="str">
        <f>IFERROR(VLOOKUP(A514,[1]Hoja1!$A$2:$J$68,10,FALSE), " - ")</f>
        <v xml:space="preserve"> - </v>
      </c>
    </row>
    <row r="515" spans="1:14" x14ac:dyDescent="0.3">
      <c r="A515" s="5">
        <v>36909</v>
      </c>
      <c r="B515" s="5" t="s">
        <v>12</v>
      </c>
      <c r="C515" s="6" t="s">
        <v>63</v>
      </c>
      <c r="D515" s="5" t="s">
        <v>14</v>
      </c>
      <c r="E515" s="13">
        <v>46208</v>
      </c>
      <c r="F515" s="5" t="s">
        <v>15</v>
      </c>
      <c r="G515" s="6" t="s">
        <v>174</v>
      </c>
      <c r="H515" s="6" t="s">
        <v>38</v>
      </c>
      <c r="I515" s="4" t="s">
        <v>549</v>
      </c>
      <c r="J515" s="5" t="s">
        <v>61</v>
      </c>
      <c r="K515" s="6" t="s">
        <v>550</v>
      </c>
      <c r="L515" s="6" t="s">
        <v>175</v>
      </c>
      <c r="M515" s="15">
        <v>46217</v>
      </c>
      <c r="N515" s="16" t="str">
        <f>IFERROR(VLOOKUP(A515,[1]Hoja1!$A$2:$J$68,10,FALSE), " - ")</f>
        <v xml:space="preserve"> - </v>
      </c>
    </row>
    <row r="516" spans="1:14" x14ac:dyDescent="0.3">
      <c r="A516" s="2">
        <v>36916</v>
      </c>
      <c r="B516" s="2" t="s">
        <v>12</v>
      </c>
      <c r="C516" s="3" t="s">
        <v>63</v>
      </c>
      <c r="D516" s="2" t="s">
        <v>14</v>
      </c>
      <c r="E516" s="12">
        <v>46208</v>
      </c>
      <c r="F516" s="2" t="s">
        <v>15</v>
      </c>
      <c r="G516" s="3" t="s">
        <v>600</v>
      </c>
      <c r="H516" s="3" t="s">
        <v>38</v>
      </c>
      <c r="I516" s="7" t="s">
        <v>451</v>
      </c>
      <c r="J516" s="2" t="s">
        <v>61</v>
      </c>
      <c r="K516" s="3" t="s">
        <v>31</v>
      </c>
      <c r="L516" s="3" t="s">
        <v>32</v>
      </c>
      <c r="M516" s="15">
        <v>46217</v>
      </c>
      <c r="N516" s="16" t="str">
        <f>IFERROR(VLOOKUP(A516,[1]Hoja1!$A$2:$J$68,10,FALSE), " - ")</f>
        <v xml:space="preserve"> - </v>
      </c>
    </row>
    <row r="517" spans="1:14" x14ac:dyDescent="0.3">
      <c r="A517" s="5">
        <v>36919</v>
      </c>
      <c r="B517" s="5" t="s">
        <v>12</v>
      </c>
      <c r="C517" s="6" t="s">
        <v>63</v>
      </c>
      <c r="D517" s="5" t="s">
        <v>14</v>
      </c>
      <c r="E517" s="13">
        <v>46208</v>
      </c>
      <c r="F517" s="5" t="s">
        <v>15</v>
      </c>
      <c r="G517" s="6" t="s">
        <v>122</v>
      </c>
      <c r="H517" s="6" t="s">
        <v>77</v>
      </c>
      <c r="I517" s="8" t="s">
        <v>190</v>
      </c>
      <c r="J517" s="5" t="s">
        <v>61</v>
      </c>
      <c r="K517" s="6" t="s">
        <v>69</v>
      </c>
      <c r="L517" s="6" t="s">
        <v>744</v>
      </c>
      <c r="M517" s="15">
        <v>46217</v>
      </c>
      <c r="N517" s="16" t="str">
        <f>IFERROR(VLOOKUP(A517,[1]Hoja1!$A$2:$J$68,10,FALSE), " - ")</f>
        <v xml:space="preserve"> - </v>
      </c>
    </row>
    <row r="518" spans="1:14" x14ac:dyDescent="0.3">
      <c r="A518" s="2">
        <v>36919</v>
      </c>
      <c r="B518" s="2" t="s">
        <v>12</v>
      </c>
      <c r="C518" s="3" t="s">
        <v>63</v>
      </c>
      <c r="D518" s="2" t="s">
        <v>14</v>
      </c>
      <c r="E518" s="12">
        <v>46208</v>
      </c>
      <c r="F518" s="2" t="s">
        <v>15</v>
      </c>
      <c r="G518" s="3" t="s">
        <v>122</v>
      </c>
      <c r="H518" s="3" t="s">
        <v>77</v>
      </c>
      <c r="I518" s="8" t="s">
        <v>792</v>
      </c>
      <c r="J518" s="2" t="s">
        <v>61</v>
      </c>
      <c r="K518" s="3" t="s">
        <v>69</v>
      </c>
      <c r="L518" s="3" t="s">
        <v>744</v>
      </c>
      <c r="M518" s="15">
        <v>46217</v>
      </c>
      <c r="N518" s="16" t="str">
        <f>IFERROR(VLOOKUP(A518,[1]Hoja1!$A$2:$J$68,10,FALSE), " - ")</f>
        <v xml:space="preserve"> - </v>
      </c>
    </row>
    <row r="519" spans="1:14" x14ac:dyDescent="0.3">
      <c r="A519" s="5">
        <v>36919</v>
      </c>
      <c r="B519" s="5" t="s">
        <v>12</v>
      </c>
      <c r="C519" s="6" t="s">
        <v>63</v>
      </c>
      <c r="D519" s="5" t="s">
        <v>14</v>
      </c>
      <c r="E519" s="13">
        <v>46208</v>
      </c>
      <c r="F519" s="5" t="s">
        <v>15</v>
      </c>
      <c r="G519" s="6" t="s">
        <v>122</v>
      </c>
      <c r="H519" s="6" t="s">
        <v>77</v>
      </c>
      <c r="I519" s="8" t="s">
        <v>848</v>
      </c>
      <c r="J519" s="5" t="s">
        <v>61</v>
      </c>
      <c r="K519" s="6" t="s">
        <v>69</v>
      </c>
      <c r="L519" s="6" t="s">
        <v>744</v>
      </c>
      <c r="M519" s="15">
        <v>46217</v>
      </c>
      <c r="N519" s="16" t="str">
        <f>IFERROR(VLOOKUP(A519,[1]Hoja1!$A$2:$J$68,10,FALSE), " - ")</f>
        <v xml:space="preserve"> - </v>
      </c>
    </row>
    <row r="520" spans="1:14" x14ac:dyDescent="0.3">
      <c r="A520" s="2">
        <v>36927</v>
      </c>
      <c r="B520" s="2" t="s">
        <v>12</v>
      </c>
      <c r="C520" s="3" t="s">
        <v>57</v>
      </c>
      <c r="D520" s="2" t="s">
        <v>14</v>
      </c>
      <c r="E520" s="12">
        <v>46208</v>
      </c>
      <c r="F520" s="9"/>
      <c r="G520" s="3" t="s">
        <v>252</v>
      </c>
      <c r="H520" s="3" t="s">
        <v>253</v>
      </c>
      <c r="I520" s="7" t="s">
        <v>551</v>
      </c>
      <c r="J520" s="2" t="s">
        <v>61</v>
      </c>
      <c r="K520" s="3" t="s">
        <v>31</v>
      </c>
      <c r="L520" s="3" t="s">
        <v>32</v>
      </c>
      <c r="M520" s="15">
        <v>46217</v>
      </c>
      <c r="N520" s="16" t="str">
        <f>IFERROR(VLOOKUP(A520,[1]Hoja1!$A$2:$J$68,10,FALSE), " - ")</f>
        <v>FALTA MATERIAL</v>
      </c>
    </row>
    <row r="521" spans="1:14" x14ac:dyDescent="0.3">
      <c r="A521" s="2">
        <v>36935</v>
      </c>
      <c r="B521" s="2" t="s">
        <v>12</v>
      </c>
      <c r="C521" s="3" t="s">
        <v>13</v>
      </c>
      <c r="D521" s="2" t="s">
        <v>14</v>
      </c>
      <c r="E521" s="12">
        <v>46208</v>
      </c>
      <c r="F521" s="2" t="s">
        <v>15</v>
      </c>
      <c r="G521" s="3" t="s">
        <v>821</v>
      </c>
      <c r="H521" s="3" t="s">
        <v>537</v>
      </c>
      <c r="I521" s="7" t="s">
        <v>849</v>
      </c>
      <c r="J521" s="2" t="s">
        <v>18</v>
      </c>
      <c r="K521" s="3" t="s">
        <v>31</v>
      </c>
      <c r="L521" s="3" t="s">
        <v>32</v>
      </c>
      <c r="M521" s="15">
        <v>46217</v>
      </c>
      <c r="N521" s="16" t="str">
        <f>IFERROR(VLOOKUP(A521,[1]Hoja1!$A$2:$J$68,10,FALSE), " - ")</f>
        <v>FALTA MATERIAL</v>
      </c>
    </row>
    <row r="522" spans="1:14" x14ac:dyDescent="0.3">
      <c r="A522" s="5">
        <v>36936</v>
      </c>
      <c r="B522" s="5" t="s">
        <v>62</v>
      </c>
      <c r="C522" s="6" t="s">
        <v>13</v>
      </c>
      <c r="D522" s="5" t="s">
        <v>14</v>
      </c>
      <c r="E522" s="13">
        <v>46208</v>
      </c>
      <c r="F522" s="5" t="s">
        <v>15</v>
      </c>
      <c r="G522" s="6" t="s">
        <v>261</v>
      </c>
      <c r="H522" s="6" t="s">
        <v>38</v>
      </c>
      <c r="I522" s="7" t="s">
        <v>552</v>
      </c>
      <c r="J522" s="5" t="s">
        <v>18</v>
      </c>
      <c r="K522" s="6" t="s">
        <v>31</v>
      </c>
      <c r="L522" s="6" t="s">
        <v>32</v>
      </c>
      <c r="M522" s="15">
        <v>46217</v>
      </c>
      <c r="N522" s="16" t="str">
        <f>IFERROR(VLOOKUP(A522,[1]Hoja1!$A$2:$J$68,10,FALSE), " - ")</f>
        <v>FALTA MATERIAL</v>
      </c>
    </row>
    <row r="523" spans="1:14" x14ac:dyDescent="0.3">
      <c r="A523" s="2">
        <v>36936</v>
      </c>
      <c r="B523" s="2" t="s">
        <v>62</v>
      </c>
      <c r="C523" s="3" t="s">
        <v>13</v>
      </c>
      <c r="D523" s="2" t="s">
        <v>14</v>
      </c>
      <c r="E523" s="12">
        <v>46208</v>
      </c>
      <c r="F523" s="2" t="s">
        <v>15</v>
      </c>
      <c r="G523" s="3" t="s">
        <v>261</v>
      </c>
      <c r="H523" s="3" t="s">
        <v>38</v>
      </c>
      <c r="I523" s="7" t="s">
        <v>121</v>
      </c>
      <c r="J523" s="2" t="s">
        <v>18</v>
      </c>
      <c r="K523" s="3" t="s">
        <v>31</v>
      </c>
      <c r="L523" s="3" t="s">
        <v>32</v>
      </c>
      <c r="M523" s="15">
        <v>46217</v>
      </c>
      <c r="N523" s="16" t="str">
        <f>IFERROR(VLOOKUP(A523,[1]Hoja1!$A$2:$J$68,10,FALSE), " - ")</f>
        <v>FALTA MATERIAL</v>
      </c>
    </row>
    <row r="524" spans="1:14" x14ac:dyDescent="0.3">
      <c r="A524" s="5">
        <v>36936</v>
      </c>
      <c r="B524" s="5" t="s">
        <v>62</v>
      </c>
      <c r="C524" s="6" t="s">
        <v>13</v>
      </c>
      <c r="D524" s="5" t="s">
        <v>14</v>
      </c>
      <c r="E524" s="13">
        <v>46208</v>
      </c>
      <c r="F524" s="5" t="s">
        <v>15</v>
      </c>
      <c r="G524" s="6" t="s">
        <v>261</v>
      </c>
      <c r="H524" s="6" t="s">
        <v>38</v>
      </c>
      <c r="I524" s="7" t="s">
        <v>850</v>
      </c>
      <c r="J524" s="5" t="s">
        <v>18</v>
      </c>
      <c r="K524" s="6" t="s">
        <v>31</v>
      </c>
      <c r="L524" s="6" t="s">
        <v>32</v>
      </c>
      <c r="M524" s="15">
        <v>46217</v>
      </c>
      <c r="N524" s="16" t="str">
        <f>IFERROR(VLOOKUP(A524,[1]Hoja1!$A$2:$J$68,10,FALSE), " - ")</f>
        <v>FALTA MATERIAL</v>
      </c>
    </row>
    <row r="525" spans="1:14" x14ac:dyDescent="0.3">
      <c r="A525" s="5">
        <v>36937</v>
      </c>
      <c r="B525" s="5" t="s">
        <v>62</v>
      </c>
      <c r="C525" s="6" t="s">
        <v>13</v>
      </c>
      <c r="D525" s="5" t="s">
        <v>14</v>
      </c>
      <c r="E525" s="13">
        <v>46208</v>
      </c>
      <c r="F525" s="5" t="s">
        <v>15</v>
      </c>
      <c r="G525" s="6" t="s">
        <v>116</v>
      </c>
      <c r="H525" s="6" t="s">
        <v>117</v>
      </c>
      <c r="I525" s="7" t="s">
        <v>629</v>
      </c>
      <c r="J525" s="5" t="s">
        <v>61</v>
      </c>
      <c r="K525" s="6" t="s">
        <v>31</v>
      </c>
      <c r="L525" s="6" t="s">
        <v>32</v>
      </c>
      <c r="M525" s="15">
        <v>46217</v>
      </c>
      <c r="N525" s="16" t="str">
        <f>IFERROR(VLOOKUP(A525,[1]Hoja1!$A$2:$J$68,10,FALSE), " - ")</f>
        <v>FALTA MATERIAL</v>
      </c>
    </row>
    <row r="526" spans="1:14" x14ac:dyDescent="0.3">
      <c r="A526" s="2">
        <v>37122</v>
      </c>
      <c r="B526" s="2" t="s">
        <v>12</v>
      </c>
      <c r="C526" s="3" t="s">
        <v>57</v>
      </c>
      <c r="D526" s="2" t="s">
        <v>14</v>
      </c>
      <c r="E526" s="12">
        <v>46208</v>
      </c>
      <c r="F526" s="2" t="s">
        <v>15</v>
      </c>
      <c r="G526" s="3" t="s">
        <v>705</v>
      </c>
      <c r="H526" s="3" t="s">
        <v>237</v>
      </c>
      <c r="I526" s="7" t="s">
        <v>706</v>
      </c>
      <c r="J526" s="2" t="s">
        <v>61</v>
      </c>
      <c r="K526" s="3" t="s">
        <v>31</v>
      </c>
      <c r="L526" s="3" t="s">
        <v>32</v>
      </c>
      <c r="M526" s="15">
        <v>46217</v>
      </c>
      <c r="N526" s="16" t="str">
        <f>IFERROR(VLOOKUP(A526,[1]Hoja1!$A$2:$J$68,10,FALSE), " - ")</f>
        <v>FALTA MATERIAL</v>
      </c>
    </row>
    <row r="527" spans="1:14" x14ac:dyDescent="0.3">
      <c r="A527" s="5">
        <v>37123</v>
      </c>
      <c r="B527" s="5" t="s">
        <v>12</v>
      </c>
      <c r="C527" s="6" t="s">
        <v>57</v>
      </c>
      <c r="D527" s="5" t="s">
        <v>14</v>
      </c>
      <c r="E527" s="13">
        <v>46208</v>
      </c>
      <c r="F527" s="5" t="s">
        <v>15</v>
      </c>
      <c r="G527" s="6" t="s">
        <v>519</v>
      </c>
      <c r="H527" s="6" t="s">
        <v>38</v>
      </c>
      <c r="I527" s="7" t="s">
        <v>131</v>
      </c>
      <c r="J527" s="5" t="s">
        <v>61</v>
      </c>
      <c r="K527" s="6" t="s">
        <v>31</v>
      </c>
      <c r="L527" s="6" t="s">
        <v>32</v>
      </c>
      <c r="M527" s="15">
        <v>46217</v>
      </c>
      <c r="N527" s="16" t="str">
        <f>IFERROR(VLOOKUP(A527,[1]Hoja1!$A$2:$J$68,10,FALSE), " - ")</f>
        <v>FALTA MATERIAL</v>
      </c>
    </row>
    <row r="528" spans="1:14" x14ac:dyDescent="0.3">
      <c r="A528" s="5">
        <v>37124</v>
      </c>
      <c r="B528" s="5" t="s">
        <v>12</v>
      </c>
      <c r="C528" s="6" t="s">
        <v>57</v>
      </c>
      <c r="D528" s="5" t="s">
        <v>14</v>
      </c>
      <c r="E528" s="13">
        <v>46208</v>
      </c>
      <c r="F528" s="5" t="s">
        <v>15</v>
      </c>
      <c r="G528" s="6" t="s">
        <v>222</v>
      </c>
      <c r="H528" s="6" t="s">
        <v>38</v>
      </c>
      <c r="I528" s="7" t="s">
        <v>131</v>
      </c>
      <c r="J528" s="5" t="s">
        <v>18</v>
      </c>
      <c r="K528" s="6" t="s">
        <v>31</v>
      </c>
      <c r="L528" s="6" t="s">
        <v>32</v>
      </c>
      <c r="M528" s="15">
        <v>46217</v>
      </c>
      <c r="N528" s="16" t="str">
        <f>IFERROR(VLOOKUP(A528,[1]Hoja1!$A$2:$J$68,10,FALSE), " - ")</f>
        <v>FALTA MATERIAL</v>
      </c>
    </row>
    <row r="529" spans="1:14" x14ac:dyDescent="0.3">
      <c r="A529" s="2">
        <v>37125</v>
      </c>
      <c r="B529" s="2" t="s">
        <v>12</v>
      </c>
      <c r="C529" s="3" t="s">
        <v>57</v>
      </c>
      <c r="D529" s="2" t="s">
        <v>14</v>
      </c>
      <c r="E529" s="12">
        <v>46208</v>
      </c>
      <c r="F529" s="2" t="s">
        <v>15</v>
      </c>
      <c r="G529" s="3" t="s">
        <v>490</v>
      </c>
      <c r="H529" s="3" t="s">
        <v>491</v>
      </c>
      <c r="I529" s="7" t="s">
        <v>131</v>
      </c>
      <c r="J529" s="2" t="s">
        <v>18</v>
      </c>
      <c r="K529" s="3" t="s">
        <v>31</v>
      </c>
      <c r="L529" s="3" t="s">
        <v>32</v>
      </c>
      <c r="M529" s="15">
        <v>46217</v>
      </c>
      <c r="N529" s="16" t="str">
        <f>IFERROR(VLOOKUP(A529,[1]Hoja1!$A$2:$J$68,10,FALSE), " - ")</f>
        <v>FALTA MATERIAL</v>
      </c>
    </row>
    <row r="530" spans="1:14" x14ac:dyDescent="0.3">
      <c r="A530" s="5">
        <v>37141</v>
      </c>
      <c r="B530" s="5" t="s">
        <v>12</v>
      </c>
      <c r="C530" s="6" t="s">
        <v>57</v>
      </c>
      <c r="D530" s="5" t="s">
        <v>14</v>
      </c>
      <c r="E530" s="13">
        <v>46208</v>
      </c>
      <c r="F530" s="5" t="s">
        <v>15</v>
      </c>
      <c r="G530" s="6" t="s">
        <v>583</v>
      </c>
      <c r="H530" s="6" t="s">
        <v>29</v>
      </c>
      <c r="I530" s="7" t="s">
        <v>525</v>
      </c>
      <c r="J530" s="5" t="s">
        <v>18</v>
      </c>
      <c r="K530" s="6" t="s">
        <v>31</v>
      </c>
      <c r="L530" s="6" t="s">
        <v>32</v>
      </c>
      <c r="M530" s="15">
        <v>46217</v>
      </c>
      <c r="N530" s="16" t="str">
        <f>IFERROR(VLOOKUP(A530,[1]Hoja1!$A$2:$J$68,10,FALSE), " - ")</f>
        <v xml:space="preserve"> - </v>
      </c>
    </row>
    <row r="531" spans="1:14" x14ac:dyDescent="0.3">
      <c r="A531" s="5">
        <v>37032</v>
      </c>
      <c r="B531" s="5" t="s">
        <v>12</v>
      </c>
      <c r="C531" s="6" t="s">
        <v>13</v>
      </c>
      <c r="D531" s="5" t="s">
        <v>14</v>
      </c>
      <c r="E531" s="13">
        <v>46209</v>
      </c>
      <c r="F531" s="5" t="s">
        <v>15</v>
      </c>
      <c r="G531" s="6" t="s">
        <v>332</v>
      </c>
      <c r="H531" s="6" t="s">
        <v>189</v>
      </c>
      <c r="I531" s="4" t="s">
        <v>165</v>
      </c>
      <c r="J531" s="5" t="s">
        <v>61</v>
      </c>
      <c r="K531" s="6" t="s">
        <v>333</v>
      </c>
      <c r="L531" s="6" t="s">
        <v>334</v>
      </c>
      <c r="M531" s="15">
        <v>46217</v>
      </c>
      <c r="N531" s="16" t="str">
        <f>IFERROR(VLOOKUP(A531,[1]Hoja1!$A$2:$J$68,10,FALSE), " - ")</f>
        <v>-</v>
      </c>
    </row>
    <row r="532" spans="1:14" x14ac:dyDescent="0.3">
      <c r="A532" s="5">
        <v>37038</v>
      </c>
      <c r="B532" s="5" t="s">
        <v>33</v>
      </c>
      <c r="C532" s="6" t="s">
        <v>13</v>
      </c>
      <c r="D532" s="5" t="s">
        <v>14</v>
      </c>
      <c r="E532" s="13">
        <v>46209</v>
      </c>
      <c r="F532" s="5" t="s">
        <v>15</v>
      </c>
      <c r="G532" s="6" t="s">
        <v>180</v>
      </c>
      <c r="H532" s="6" t="s">
        <v>130</v>
      </c>
      <c r="I532" s="4" t="s">
        <v>138</v>
      </c>
      <c r="J532" s="5" t="s">
        <v>18</v>
      </c>
      <c r="K532" s="6" t="s">
        <v>139</v>
      </c>
      <c r="L532" s="6" t="s">
        <v>181</v>
      </c>
      <c r="M532" s="15">
        <v>46217</v>
      </c>
      <c r="N532" s="16" t="str">
        <f>IFERROR(VLOOKUP(A532,[1]Hoja1!$A$2:$J$68,10,FALSE), " - ")</f>
        <v xml:space="preserve"> - </v>
      </c>
    </row>
    <row r="533" spans="1:14" x14ac:dyDescent="0.3">
      <c r="A533" s="5">
        <v>37041</v>
      </c>
      <c r="B533" s="5" t="s">
        <v>33</v>
      </c>
      <c r="C533" s="6" t="s">
        <v>13</v>
      </c>
      <c r="D533" s="5" t="s">
        <v>14</v>
      </c>
      <c r="E533" s="13">
        <v>46209</v>
      </c>
      <c r="F533" s="5" t="s">
        <v>15</v>
      </c>
      <c r="G533" s="6" t="s">
        <v>180</v>
      </c>
      <c r="H533" s="6" t="s">
        <v>130</v>
      </c>
      <c r="I533" s="4" t="s">
        <v>34</v>
      </c>
      <c r="J533" s="5" t="s">
        <v>18</v>
      </c>
      <c r="K533" s="6" t="s">
        <v>35</v>
      </c>
      <c r="L533" s="6" t="s">
        <v>372</v>
      </c>
      <c r="M533" s="15">
        <v>46217</v>
      </c>
      <c r="N533" s="16" t="str">
        <f>IFERROR(VLOOKUP(A533,[1]Hoja1!$A$2:$J$68,10,FALSE), " - ")</f>
        <v xml:space="preserve"> - </v>
      </c>
    </row>
    <row r="534" spans="1:14" x14ac:dyDescent="0.3">
      <c r="A534" s="2">
        <v>37135</v>
      </c>
      <c r="B534" s="2" t="s">
        <v>12</v>
      </c>
      <c r="C534" s="3" t="s">
        <v>57</v>
      </c>
      <c r="D534" s="2" t="s">
        <v>14</v>
      </c>
      <c r="E534" s="12">
        <v>46209</v>
      </c>
      <c r="F534" s="2" t="s">
        <v>15</v>
      </c>
      <c r="G534" s="3" t="s">
        <v>452</v>
      </c>
      <c r="H534" s="3" t="s">
        <v>17</v>
      </c>
      <c r="I534" s="7" t="s">
        <v>131</v>
      </c>
      <c r="J534" s="2" t="s">
        <v>18</v>
      </c>
      <c r="K534" s="3" t="s">
        <v>31</v>
      </c>
      <c r="L534" s="3" t="s">
        <v>32</v>
      </c>
      <c r="M534" s="15">
        <v>46217</v>
      </c>
      <c r="N534" s="16" t="str">
        <f>IFERROR(VLOOKUP(A534,[1]Hoja1!$A$2:$J$68,10,FALSE), " - ")</f>
        <v xml:space="preserve"> - </v>
      </c>
    </row>
    <row r="535" spans="1:14" x14ac:dyDescent="0.3">
      <c r="A535" s="2">
        <v>37136</v>
      </c>
      <c r="B535" s="2" t="s">
        <v>12</v>
      </c>
      <c r="C535" s="3" t="s">
        <v>57</v>
      </c>
      <c r="D535" s="2" t="s">
        <v>14</v>
      </c>
      <c r="E535" s="12">
        <v>46209</v>
      </c>
      <c r="F535" s="2" t="s">
        <v>15</v>
      </c>
      <c r="G535" s="3" t="s">
        <v>565</v>
      </c>
      <c r="H535" s="3" t="s">
        <v>17</v>
      </c>
      <c r="I535" s="7" t="s">
        <v>131</v>
      </c>
      <c r="J535" s="2" t="s">
        <v>61</v>
      </c>
      <c r="K535" s="3" t="s">
        <v>31</v>
      </c>
      <c r="L535" s="3" t="s">
        <v>32</v>
      </c>
      <c r="M535" s="15">
        <v>46217</v>
      </c>
      <c r="N535" s="16" t="str">
        <f>IFERROR(VLOOKUP(A535,[1]Hoja1!$A$2:$J$68,10,FALSE), " - ")</f>
        <v xml:space="preserve"> - </v>
      </c>
    </row>
    <row r="536" spans="1:14" x14ac:dyDescent="0.3">
      <c r="A536" s="2">
        <v>37137</v>
      </c>
      <c r="B536" s="2" t="s">
        <v>12</v>
      </c>
      <c r="C536" s="3" t="s">
        <v>57</v>
      </c>
      <c r="D536" s="2" t="s">
        <v>14</v>
      </c>
      <c r="E536" s="12">
        <v>46209</v>
      </c>
      <c r="F536" s="2" t="s">
        <v>15</v>
      </c>
      <c r="G536" s="3" t="s">
        <v>339</v>
      </c>
      <c r="H536" s="3" t="s">
        <v>17</v>
      </c>
      <c r="I536" s="7" t="s">
        <v>131</v>
      </c>
      <c r="J536" s="2" t="s">
        <v>18</v>
      </c>
      <c r="K536" s="3" t="s">
        <v>31</v>
      </c>
      <c r="L536" s="3" t="s">
        <v>32</v>
      </c>
      <c r="M536" s="15">
        <v>46217</v>
      </c>
      <c r="N536" s="16" t="str">
        <f>IFERROR(VLOOKUP(A536,[1]Hoja1!$A$2:$J$68,10,FALSE), " - ")</f>
        <v xml:space="preserve"> - </v>
      </c>
    </row>
    <row r="537" spans="1:14" x14ac:dyDescent="0.3">
      <c r="A537" s="2">
        <v>37138</v>
      </c>
      <c r="B537" s="2" t="s">
        <v>12</v>
      </c>
      <c r="C537" s="3" t="s">
        <v>57</v>
      </c>
      <c r="D537" s="2" t="s">
        <v>14</v>
      </c>
      <c r="E537" s="12">
        <v>46209</v>
      </c>
      <c r="F537" s="2" t="s">
        <v>15</v>
      </c>
      <c r="G537" s="3" t="s">
        <v>353</v>
      </c>
      <c r="H537" s="3" t="s">
        <v>17</v>
      </c>
      <c r="I537" s="7" t="s">
        <v>131</v>
      </c>
      <c r="J537" s="2" t="s">
        <v>18</v>
      </c>
      <c r="K537" s="3" t="s">
        <v>31</v>
      </c>
      <c r="L537" s="3" t="s">
        <v>32</v>
      </c>
      <c r="M537" s="15">
        <v>46217</v>
      </c>
      <c r="N537" s="16" t="str">
        <f>IFERROR(VLOOKUP(A537,[1]Hoja1!$A$2:$J$68,10,FALSE), " - ")</f>
        <v xml:space="preserve"> - </v>
      </c>
    </row>
    <row r="538" spans="1:14" x14ac:dyDescent="0.3">
      <c r="A538" s="2">
        <v>37050</v>
      </c>
      <c r="B538" s="2" t="s">
        <v>12</v>
      </c>
      <c r="C538" s="3" t="s">
        <v>13</v>
      </c>
      <c r="D538" s="2" t="s">
        <v>14</v>
      </c>
      <c r="E538" s="12">
        <v>46210</v>
      </c>
      <c r="F538" s="2" t="s">
        <v>15</v>
      </c>
      <c r="G538" s="3" t="s">
        <v>335</v>
      </c>
      <c r="H538" s="3" t="s">
        <v>47</v>
      </c>
      <c r="I538" s="4" t="s">
        <v>336</v>
      </c>
      <c r="J538" s="2" t="s">
        <v>18</v>
      </c>
      <c r="K538" s="3" t="s">
        <v>35</v>
      </c>
      <c r="L538" s="3" t="s">
        <v>337</v>
      </c>
      <c r="M538" s="15">
        <v>46217</v>
      </c>
      <c r="N538" s="16" t="str">
        <f>IFERROR(VLOOKUP(A538,[1]Hoja1!$A$2:$J$68,10,FALSE), " - ")</f>
        <v>FALTA MATERIAL</v>
      </c>
    </row>
    <row r="539" spans="1:14" x14ac:dyDescent="0.3">
      <c r="A539" s="5">
        <v>37050</v>
      </c>
      <c r="B539" s="5" t="s">
        <v>12</v>
      </c>
      <c r="C539" s="6" t="s">
        <v>13</v>
      </c>
      <c r="D539" s="5" t="s">
        <v>14</v>
      </c>
      <c r="E539" s="13">
        <v>46210</v>
      </c>
      <c r="F539" s="5" t="s">
        <v>15</v>
      </c>
      <c r="G539" s="6" t="s">
        <v>335</v>
      </c>
      <c r="H539" s="6" t="s">
        <v>47</v>
      </c>
      <c r="I539" s="4" t="s">
        <v>760</v>
      </c>
      <c r="J539" s="5" t="s">
        <v>61</v>
      </c>
      <c r="K539" s="6" t="s">
        <v>761</v>
      </c>
      <c r="L539" s="6" t="s">
        <v>337</v>
      </c>
      <c r="M539" s="15">
        <v>46217</v>
      </c>
      <c r="N539" s="16" t="str">
        <f>IFERROR(VLOOKUP(A539,[1]Hoja1!$A$2:$J$68,10,FALSE), " - ")</f>
        <v>FALTA MATERIAL</v>
      </c>
    </row>
    <row r="540" spans="1:14" x14ac:dyDescent="0.3">
      <c r="A540" s="5">
        <v>37051</v>
      </c>
      <c r="B540" s="5" t="s">
        <v>33</v>
      </c>
      <c r="C540" s="6" t="s">
        <v>13</v>
      </c>
      <c r="D540" s="5" t="s">
        <v>14</v>
      </c>
      <c r="E540" s="13">
        <v>46210</v>
      </c>
      <c r="F540" s="5" t="s">
        <v>15</v>
      </c>
      <c r="G540" s="6" t="s">
        <v>606</v>
      </c>
      <c r="H540" s="6" t="s">
        <v>77</v>
      </c>
      <c r="I540" s="4" t="s">
        <v>138</v>
      </c>
      <c r="J540" s="5" t="s">
        <v>18</v>
      </c>
      <c r="K540" s="6" t="s">
        <v>139</v>
      </c>
      <c r="L540" s="6" t="s">
        <v>140</v>
      </c>
      <c r="M540" s="15">
        <v>46217</v>
      </c>
      <c r="N540" s="16" t="str">
        <f>IFERROR(VLOOKUP(A540,[1]Hoja1!$A$2:$J$68,10,FALSE), " - ")</f>
        <v xml:space="preserve"> - </v>
      </c>
    </row>
    <row r="541" spans="1:14" x14ac:dyDescent="0.3">
      <c r="A541" s="5">
        <v>37052</v>
      </c>
      <c r="B541" s="5" t="s">
        <v>33</v>
      </c>
      <c r="C541" s="6" t="s">
        <v>13</v>
      </c>
      <c r="D541" s="5" t="s">
        <v>14</v>
      </c>
      <c r="E541" s="13">
        <v>46210</v>
      </c>
      <c r="F541" s="5" t="s">
        <v>15</v>
      </c>
      <c r="G541" s="6" t="s">
        <v>606</v>
      </c>
      <c r="H541" s="6" t="s">
        <v>77</v>
      </c>
      <c r="I541" s="4" t="s">
        <v>34</v>
      </c>
      <c r="J541" s="5" t="s">
        <v>18</v>
      </c>
      <c r="K541" s="6" t="s">
        <v>35</v>
      </c>
      <c r="L541" s="6" t="s">
        <v>103</v>
      </c>
      <c r="M541" s="15">
        <v>46217</v>
      </c>
      <c r="N541" s="16" t="str">
        <f>IFERROR(VLOOKUP(A541,[1]Hoja1!$A$2:$J$68,10,FALSE), " - ")</f>
        <v xml:space="preserve"> - </v>
      </c>
    </row>
    <row r="542" spans="1:14" x14ac:dyDescent="0.3">
      <c r="A542" s="2">
        <v>37055</v>
      </c>
      <c r="B542" s="2" t="s">
        <v>12</v>
      </c>
      <c r="C542" s="3" t="s">
        <v>13</v>
      </c>
      <c r="D542" s="2" t="s">
        <v>14</v>
      </c>
      <c r="E542" s="12">
        <v>46210</v>
      </c>
      <c r="F542" s="2" t="s">
        <v>15</v>
      </c>
      <c r="G542" s="3" t="s">
        <v>606</v>
      </c>
      <c r="H542" s="3" t="s">
        <v>77</v>
      </c>
      <c r="I542" s="4" t="s">
        <v>318</v>
      </c>
      <c r="J542" s="2" t="s">
        <v>18</v>
      </c>
      <c r="K542" s="3" t="s">
        <v>441</v>
      </c>
      <c r="L542" s="3" t="s">
        <v>607</v>
      </c>
      <c r="M542" s="15">
        <v>46217</v>
      </c>
      <c r="N542" s="16" t="str">
        <f>IFERROR(VLOOKUP(A542,[1]Hoja1!$A$2:$J$68,10,FALSE), " - ")</f>
        <v>FALTA MATERIAL</v>
      </c>
    </row>
    <row r="543" spans="1:14" x14ac:dyDescent="0.3">
      <c r="A543" s="2">
        <v>37055</v>
      </c>
      <c r="B543" s="2" t="s">
        <v>12</v>
      </c>
      <c r="C543" s="3" t="s">
        <v>13</v>
      </c>
      <c r="D543" s="2" t="s">
        <v>14</v>
      </c>
      <c r="E543" s="12">
        <v>46210</v>
      </c>
      <c r="F543" s="2" t="s">
        <v>15</v>
      </c>
      <c r="G543" s="3" t="s">
        <v>606</v>
      </c>
      <c r="H543" s="3" t="s">
        <v>77</v>
      </c>
      <c r="I543" s="4" t="s">
        <v>216</v>
      </c>
      <c r="J543" s="2" t="s">
        <v>18</v>
      </c>
      <c r="K543" s="3" t="s">
        <v>35</v>
      </c>
      <c r="L543" s="3" t="s">
        <v>607</v>
      </c>
      <c r="M543" s="15">
        <v>46217</v>
      </c>
      <c r="N543" s="16" t="str">
        <f>IFERROR(VLOOKUP(A543,[1]Hoja1!$A$2:$J$68,10,FALSE), " - ")</f>
        <v>FALTA MATERIAL</v>
      </c>
    </row>
    <row r="544" spans="1:14" x14ac:dyDescent="0.3">
      <c r="A544" s="2">
        <v>37055</v>
      </c>
      <c r="B544" s="2" t="s">
        <v>12</v>
      </c>
      <c r="C544" s="3" t="s">
        <v>13</v>
      </c>
      <c r="D544" s="2" t="s">
        <v>14</v>
      </c>
      <c r="E544" s="12">
        <v>46210</v>
      </c>
      <c r="F544" s="2" t="s">
        <v>15</v>
      </c>
      <c r="G544" s="3" t="s">
        <v>606</v>
      </c>
      <c r="H544" s="3" t="s">
        <v>77</v>
      </c>
      <c r="I544" s="4" t="s">
        <v>745</v>
      </c>
      <c r="J544" s="2" t="s">
        <v>61</v>
      </c>
      <c r="K544" s="3" t="s">
        <v>35</v>
      </c>
      <c r="L544" s="3" t="s">
        <v>607</v>
      </c>
      <c r="M544" s="15">
        <v>46217</v>
      </c>
      <c r="N544" s="16" t="str">
        <f>IFERROR(VLOOKUP(A544,[1]Hoja1!$A$2:$J$68,10,FALSE), " - ")</f>
        <v>FALTA MATERIAL</v>
      </c>
    </row>
    <row r="545" spans="1:14" x14ac:dyDescent="0.3">
      <c r="A545" s="2">
        <v>37056</v>
      </c>
      <c r="B545" s="2" t="s">
        <v>12</v>
      </c>
      <c r="C545" s="3" t="s">
        <v>80</v>
      </c>
      <c r="D545" s="2" t="s">
        <v>14</v>
      </c>
      <c r="E545" s="12">
        <v>46210</v>
      </c>
      <c r="F545" s="2" t="s">
        <v>15</v>
      </c>
      <c r="G545" s="3" t="s">
        <v>182</v>
      </c>
      <c r="H545" s="3" t="s">
        <v>137</v>
      </c>
      <c r="I545" s="8" t="s">
        <v>183</v>
      </c>
      <c r="J545" s="2" t="s">
        <v>61</v>
      </c>
      <c r="K545" s="3" t="s">
        <v>69</v>
      </c>
      <c r="L545" s="3" t="s">
        <v>184</v>
      </c>
      <c r="M545" s="15">
        <v>46217</v>
      </c>
      <c r="N545" s="16" t="str">
        <f>IFERROR(VLOOKUP(A545,[1]Hoja1!$A$2:$J$68,10,FALSE), " - ")</f>
        <v xml:space="preserve"> - </v>
      </c>
    </row>
    <row r="546" spans="1:14" x14ac:dyDescent="0.3">
      <c r="A546" s="2">
        <v>37074</v>
      </c>
      <c r="B546" s="2" t="s">
        <v>12</v>
      </c>
      <c r="C546" s="3" t="s">
        <v>13</v>
      </c>
      <c r="D546" s="2" t="s">
        <v>14</v>
      </c>
      <c r="E546" s="12">
        <v>46210</v>
      </c>
      <c r="F546" s="2" t="s">
        <v>15</v>
      </c>
      <c r="G546" s="3" t="s">
        <v>85</v>
      </c>
      <c r="H546" s="3" t="s">
        <v>86</v>
      </c>
      <c r="I546" s="4" t="s">
        <v>87</v>
      </c>
      <c r="J546" s="2" t="s">
        <v>61</v>
      </c>
      <c r="K546" s="3" t="s">
        <v>88</v>
      </c>
      <c r="L546" s="3" t="s">
        <v>89</v>
      </c>
      <c r="M546" s="15">
        <v>46217</v>
      </c>
      <c r="N546" s="16" t="str">
        <f>IFERROR(VLOOKUP(A546,[1]Hoja1!$A$2:$J$68,10,FALSE), " - ")</f>
        <v>FALTA MATERIAL</v>
      </c>
    </row>
    <row r="547" spans="1:14" x14ac:dyDescent="0.3">
      <c r="A547" s="2">
        <v>37074</v>
      </c>
      <c r="B547" s="2" t="s">
        <v>12</v>
      </c>
      <c r="C547" s="3" t="s">
        <v>13</v>
      </c>
      <c r="D547" s="2" t="s">
        <v>14</v>
      </c>
      <c r="E547" s="12">
        <v>46210</v>
      </c>
      <c r="F547" s="2" t="s">
        <v>15</v>
      </c>
      <c r="G547" s="3" t="s">
        <v>85</v>
      </c>
      <c r="H547" s="3" t="s">
        <v>86</v>
      </c>
      <c r="I547" s="4" t="s">
        <v>793</v>
      </c>
      <c r="J547" s="2" t="s">
        <v>61</v>
      </c>
      <c r="K547" s="3" t="s">
        <v>794</v>
      </c>
      <c r="L547" s="3" t="s">
        <v>89</v>
      </c>
      <c r="M547" s="15">
        <v>46217</v>
      </c>
      <c r="N547" s="16" t="str">
        <f>IFERROR(VLOOKUP(A547,[1]Hoja1!$A$2:$J$68,10,FALSE), " - ")</f>
        <v>FALTA MATERIAL</v>
      </c>
    </row>
    <row r="548" spans="1:14" x14ac:dyDescent="0.3">
      <c r="A548" s="5">
        <v>37079</v>
      </c>
      <c r="B548" s="5" t="s">
        <v>12</v>
      </c>
      <c r="C548" s="6" t="s">
        <v>13</v>
      </c>
      <c r="D548" s="5" t="s">
        <v>14</v>
      </c>
      <c r="E548" s="13">
        <v>46212</v>
      </c>
      <c r="F548" s="11" t="s">
        <v>15</v>
      </c>
      <c r="G548" s="6" t="s">
        <v>90</v>
      </c>
      <c r="H548" s="6" t="s">
        <v>91</v>
      </c>
      <c r="I548" s="4" t="s">
        <v>92</v>
      </c>
      <c r="J548" s="5" t="s">
        <v>61</v>
      </c>
      <c r="K548" s="6" t="s">
        <v>35</v>
      </c>
      <c r="L548" s="6" t="s">
        <v>93</v>
      </c>
      <c r="M548" s="15">
        <v>46217</v>
      </c>
      <c r="N548" s="16" t="str">
        <f>IFERROR(VLOOKUP(A548,[1]Hoja1!$A$2:$J$68,10,FALSE), " - ")</f>
        <v xml:space="preserve"> - </v>
      </c>
    </row>
    <row r="549" spans="1:14" x14ac:dyDescent="0.3">
      <c r="A549" s="2">
        <v>37079</v>
      </c>
      <c r="B549" s="2" t="s">
        <v>12</v>
      </c>
      <c r="C549" s="3" t="s">
        <v>13</v>
      </c>
      <c r="D549" s="2" t="s">
        <v>14</v>
      </c>
      <c r="E549" s="12">
        <v>46212</v>
      </c>
      <c r="F549" s="2" t="s">
        <v>15</v>
      </c>
      <c r="G549" s="3" t="s">
        <v>90</v>
      </c>
      <c r="H549" s="3" t="s">
        <v>91</v>
      </c>
      <c r="I549" s="4" t="s">
        <v>221</v>
      </c>
      <c r="J549" s="2" t="s">
        <v>61</v>
      </c>
      <c r="K549" s="3" t="s">
        <v>35</v>
      </c>
      <c r="L549" s="3" t="s">
        <v>93</v>
      </c>
      <c r="M549" s="15">
        <v>46217</v>
      </c>
      <c r="N549" s="16" t="str">
        <f>IFERROR(VLOOKUP(A549,[1]Hoja1!$A$2:$J$68,10,FALSE), " - ")</f>
        <v xml:space="preserve"> - </v>
      </c>
    </row>
    <row r="550" spans="1:14" x14ac:dyDescent="0.3">
      <c r="A550" s="5">
        <v>37079</v>
      </c>
      <c r="B550" s="5" t="s">
        <v>12</v>
      </c>
      <c r="C550" s="6" t="s">
        <v>13</v>
      </c>
      <c r="D550" s="5" t="s">
        <v>14</v>
      </c>
      <c r="E550" s="13">
        <v>46212</v>
      </c>
      <c r="F550" s="5" t="s">
        <v>15</v>
      </c>
      <c r="G550" s="6" t="s">
        <v>90</v>
      </c>
      <c r="H550" s="6" t="s">
        <v>91</v>
      </c>
      <c r="I550" s="4" t="s">
        <v>338</v>
      </c>
      <c r="J550" s="5" t="s">
        <v>61</v>
      </c>
      <c r="K550" s="6" t="s">
        <v>35</v>
      </c>
      <c r="L550" s="6" t="s">
        <v>93</v>
      </c>
      <c r="M550" s="15">
        <v>46217</v>
      </c>
      <c r="N550" s="16" t="str">
        <f>IFERROR(VLOOKUP(A550,[1]Hoja1!$A$2:$J$68,10,FALSE), " - ")</f>
        <v xml:space="preserve"> - </v>
      </c>
    </row>
    <row r="551" spans="1:14" x14ac:dyDescent="0.3">
      <c r="A551" s="5">
        <v>37079</v>
      </c>
      <c r="B551" s="5" t="s">
        <v>12</v>
      </c>
      <c r="C551" s="6" t="s">
        <v>13</v>
      </c>
      <c r="D551" s="5" t="s">
        <v>14</v>
      </c>
      <c r="E551" s="13">
        <v>46212</v>
      </c>
      <c r="F551" s="5" t="s">
        <v>15</v>
      </c>
      <c r="G551" s="6" t="s">
        <v>90</v>
      </c>
      <c r="H551" s="6" t="s">
        <v>91</v>
      </c>
      <c r="I551" s="4" t="s">
        <v>579</v>
      </c>
      <c r="J551" s="5" t="s">
        <v>61</v>
      </c>
      <c r="K551" s="6" t="s">
        <v>127</v>
      </c>
      <c r="L551" s="6" t="s">
        <v>93</v>
      </c>
      <c r="M551" s="15">
        <v>46217</v>
      </c>
      <c r="N551" s="16" t="str">
        <f>IFERROR(VLOOKUP(A551,[1]Hoja1!$A$2:$J$68,10,FALSE), " - ")</f>
        <v xml:space="preserve"> - </v>
      </c>
    </row>
    <row r="552" spans="1:14" x14ac:dyDescent="0.3">
      <c r="A552" s="5">
        <v>37079</v>
      </c>
      <c r="B552" s="5" t="s">
        <v>12</v>
      </c>
      <c r="C552" s="6" t="s">
        <v>13</v>
      </c>
      <c r="D552" s="5" t="s">
        <v>14</v>
      </c>
      <c r="E552" s="13">
        <v>46212</v>
      </c>
      <c r="F552" s="5" t="s">
        <v>15</v>
      </c>
      <c r="G552" s="6" t="s">
        <v>90</v>
      </c>
      <c r="H552" s="6" t="s">
        <v>91</v>
      </c>
      <c r="I552" s="4" t="s">
        <v>556</v>
      </c>
      <c r="J552" s="5" t="s">
        <v>61</v>
      </c>
      <c r="K552" s="6" t="s">
        <v>424</v>
      </c>
      <c r="L552" s="6" t="s">
        <v>93</v>
      </c>
      <c r="M552" s="15">
        <v>46217</v>
      </c>
      <c r="N552" s="16" t="str">
        <f>IFERROR(VLOOKUP(A552,[1]Hoja1!$A$2:$J$68,10,FALSE), " - ")</f>
        <v xml:space="preserve"> - </v>
      </c>
    </row>
    <row r="553" spans="1:14" x14ac:dyDescent="0.3">
      <c r="A553" s="5">
        <v>37081</v>
      </c>
      <c r="B553" s="5" t="s">
        <v>12</v>
      </c>
      <c r="C553" s="6" t="s">
        <v>13</v>
      </c>
      <c r="D553" s="5" t="s">
        <v>14</v>
      </c>
      <c r="E553" s="13">
        <v>46212</v>
      </c>
      <c r="F553" s="5" t="s">
        <v>15</v>
      </c>
      <c r="G553" s="6" t="s">
        <v>37</v>
      </c>
      <c r="H553" s="6" t="s">
        <v>38</v>
      </c>
      <c r="I553" s="4" t="s">
        <v>487</v>
      </c>
      <c r="J553" s="5" t="s">
        <v>61</v>
      </c>
      <c r="K553" s="6" t="s">
        <v>488</v>
      </c>
      <c r="L553" s="6" t="s">
        <v>489</v>
      </c>
      <c r="M553" s="15">
        <v>46217</v>
      </c>
      <c r="N553" s="16" t="str">
        <f>IFERROR(VLOOKUP(A553,[1]Hoja1!$A$2:$J$68,10,FALSE), " - ")</f>
        <v>FALTA MATERIAL</v>
      </c>
    </row>
    <row r="554" spans="1:14" x14ac:dyDescent="0.3">
      <c r="A554" s="2">
        <v>37081</v>
      </c>
      <c r="B554" s="2" t="s">
        <v>12</v>
      </c>
      <c r="C554" s="3" t="s">
        <v>13</v>
      </c>
      <c r="D554" s="2" t="s">
        <v>14</v>
      </c>
      <c r="E554" s="12">
        <v>46212</v>
      </c>
      <c r="F554" s="2" t="s">
        <v>15</v>
      </c>
      <c r="G554" s="3" t="s">
        <v>37</v>
      </c>
      <c r="H554" s="3" t="s">
        <v>38</v>
      </c>
      <c r="I554" s="4" t="s">
        <v>580</v>
      </c>
      <c r="J554" s="2" t="s">
        <v>61</v>
      </c>
      <c r="K554" s="3" t="s">
        <v>292</v>
      </c>
      <c r="L554" s="3" t="s">
        <v>489</v>
      </c>
      <c r="M554" s="15">
        <v>46217</v>
      </c>
      <c r="N554" s="16" t="str">
        <f>IFERROR(VLOOKUP(A554,[1]Hoja1!$A$2:$J$68,10,FALSE), " - ")</f>
        <v>FALTA MATERIAL</v>
      </c>
    </row>
    <row r="555" spans="1:14" x14ac:dyDescent="0.3">
      <c r="A555" s="5">
        <v>37081</v>
      </c>
      <c r="B555" s="5" t="s">
        <v>12</v>
      </c>
      <c r="C555" s="6" t="s">
        <v>13</v>
      </c>
      <c r="D555" s="5" t="s">
        <v>14</v>
      </c>
      <c r="E555" s="13">
        <v>46212</v>
      </c>
      <c r="F555" s="5" t="s">
        <v>15</v>
      </c>
      <c r="G555" s="6" t="s">
        <v>37</v>
      </c>
      <c r="H555" s="6" t="s">
        <v>38</v>
      </c>
      <c r="I555" s="4" t="s">
        <v>804</v>
      </c>
      <c r="J555" s="5" t="s">
        <v>61</v>
      </c>
      <c r="K555" s="6" t="s">
        <v>805</v>
      </c>
      <c r="L555" s="6" t="s">
        <v>489</v>
      </c>
      <c r="M555" s="15">
        <v>46217</v>
      </c>
      <c r="N555" s="16" t="str">
        <f>IFERROR(VLOOKUP(A555,[1]Hoja1!$A$2:$J$68,10,FALSE), " - ")</f>
        <v>FALTA MATERIAL</v>
      </c>
    </row>
    <row r="556" spans="1:14" x14ac:dyDescent="0.3">
      <c r="A556" s="5">
        <v>37084</v>
      </c>
      <c r="B556" s="5" t="s">
        <v>12</v>
      </c>
      <c r="C556" s="6" t="s">
        <v>80</v>
      </c>
      <c r="D556" s="5" t="s">
        <v>14</v>
      </c>
      <c r="E556" s="13">
        <v>46212</v>
      </c>
      <c r="F556" s="5" t="s">
        <v>15</v>
      </c>
      <c r="G556" s="6" t="s">
        <v>581</v>
      </c>
      <c r="H556" s="6" t="s">
        <v>286</v>
      </c>
      <c r="I556" s="8" t="s">
        <v>512</v>
      </c>
      <c r="J556" s="5" t="s">
        <v>18</v>
      </c>
      <c r="K556" s="6" t="s">
        <v>69</v>
      </c>
      <c r="L556" s="6" t="s">
        <v>582</v>
      </c>
      <c r="M556" s="15">
        <v>46217</v>
      </c>
      <c r="N556" s="16" t="str">
        <f>IFERROR(VLOOKUP(A556,[1]Hoja1!$A$2:$J$68,10,FALSE), " - ")</f>
        <v xml:space="preserve"> - </v>
      </c>
    </row>
    <row r="557" spans="1:14" x14ac:dyDescent="0.3">
      <c r="A557" s="2">
        <v>37086</v>
      </c>
      <c r="B557" s="2" t="s">
        <v>12</v>
      </c>
      <c r="C557" s="3" t="s">
        <v>13</v>
      </c>
      <c r="D557" s="2" t="s">
        <v>14</v>
      </c>
      <c r="E557" s="12">
        <v>46212</v>
      </c>
      <c r="F557" s="2" t="s">
        <v>15</v>
      </c>
      <c r="G557" s="3" t="s">
        <v>94</v>
      </c>
      <c r="H557" s="3" t="s">
        <v>86</v>
      </c>
      <c r="I557" s="4" t="s">
        <v>95</v>
      </c>
      <c r="J557" s="2" t="s">
        <v>61</v>
      </c>
      <c r="K557" s="3" t="s">
        <v>35</v>
      </c>
      <c r="L557" s="3" t="s">
        <v>96</v>
      </c>
      <c r="M557" s="15">
        <v>46217</v>
      </c>
      <c r="N557" s="16" t="str">
        <f>IFERROR(VLOOKUP(A557,[1]Hoja1!$A$2:$J$68,10,FALSE), " - ")</f>
        <v xml:space="preserve"> - </v>
      </c>
    </row>
    <row r="558" spans="1:14" x14ac:dyDescent="0.3">
      <c r="A558" s="2">
        <v>37143</v>
      </c>
      <c r="B558" s="2" t="s">
        <v>12</v>
      </c>
      <c r="C558" s="3" t="s">
        <v>13</v>
      </c>
      <c r="D558" s="2" t="s">
        <v>14</v>
      </c>
      <c r="E558" s="12">
        <v>46212</v>
      </c>
      <c r="F558" s="2" t="s">
        <v>15</v>
      </c>
      <c r="G558" s="3" t="s">
        <v>223</v>
      </c>
      <c r="H558" s="3" t="s">
        <v>224</v>
      </c>
      <c r="I558" s="4" t="s">
        <v>225</v>
      </c>
      <c r="J558" s="2" t="s">
        <v>226</v>
      </c>
      <c r="K558" s="3" t="s">
        <v>35</v>
      </c>
      <c r="L558" s="3" t="s">
        <v>227</v>
      </c>
      <c r="M558" s="15">
        <v>46217</v>
      </c>
      <c r="N558" s="16" t="str">
        <f>IFERROR(VLOOKUP(A558,[1]Hoja1!$A$2:$J$68,10,FALSE), " - ")</f>
        <v xml:space="preserve"> - </v>
      </c>
    </row>
    <row r="559" spans="1:14" x14ac:dyDescent="0.3">
      <c r="A559" s="2">
        <v>37143</v>
      </c>
      <c r="B559" s="2" t="s">
        <v>12</v>
      </c>
      <c r="C559" s="3" t="s">
        <v>13</v>
      </c>
      <c r="D559" s="2" t="s">
        <v>14</v>
      </c>
      <c r="E559" s="12">
        <v>46212</v>
      </c>
      <c r="F559" s="2" t="s">
        <v>15</v>
      </c>
      <c r="G559" s="3" t="s">
        <v>223</v>
      </c>
      <c r="H559" s="3" t="s">
        <v>224</v>
      </c>
      <c r="I559" s="4" t="s">
        <v>762</v>
      </c>
      <c r="J559" s="2" t="s">
        <v>61</v>
      </c>
      <c r="K559" s="3" t="s">
        <v>25</v>
      </c>
      <c r="L559" s="3" t="s">
        <v>227</v>
      </c>
      <c r="M559" s="15">
        <v>46217</v>
      </c>
      <c r="N559" s="16" t="str">
        <f>IFERROR(VLOOKUP(A559,[1]Hoja1!$A$2:$J$68,10,FALSE), " - ")</f>
        <v xml:space="preserve"> - </v>
      </c>
    </row>
    <row r="560" spans="1:14" x14ac:dyDescent="0.3">
      <c r="A560" s="5">
        <v>37149</v>
      </c>
      <c r="B560" s="5" t="s">
        <v>12</v>
      </c>
      <c r="C560" s="6" t="s">
        <v>13</v>
      </c>
      <c r="D560" s="5" t="s">
        <v>14</v>
      </c>
      <c r="E560" s="13">
        <v>46213</v>
      </c>
      <c r="F560" s="5" t="s">
        <v>15</v>
      </c>
      <c r="G560" s="6" t="s">
        <v>97</v>
      </c>
      <c r="H560" s="6" t="s">
        <v>98</v>
      </c>
      <c r="I560" s="4" t="s">
        <v>99</v>
      </c>
      <c r="J560" s="5" t="s">
        <v>61</v>
      </c>
      <c r="K560" s="6" t="s">
        <v>100</v>
      </c>
      <c r="L560" s="6" t="s">
        <v>101</v>
      </c>
      <c r="M560" s="15">
        <v>46217</v>
      </c>
      <c r="N560" s="16" t="str">
        <f>IFERROR(VLOOKUP(A560,[1]Hoja1!$A$2:$J$68,10,FALSE), " - ")</f>
        <v>FALTA MATERIAL</v>
      </c>
    </row>
    <row r="561" spans="1:14" x14ac:dyDescent="0.3">
      <c r="A561" s="5">
        <v>37149</v>
      </c>
      <c r="B561" s="5" t="s">
        <v>12</v>
      </c>
      <c r="C561" s="6" t="s">
        <v>13</v>
      </c>
      <c r="D561" s="5" t="s">
        <v>14</v>
      </c>
      <c r="E561" s="13">
        <v>46213</v>
      </c>
      <c r="F561" s="5" t="s">
        <v>15</v>
      </c>
      <c r="G561" s="6" t="s">
        <v>97</v>
      </c>
      <c r="H561" s="6" t="s">
        <v>98</v>
      </c>
      <c r="I561" s="4" t="s">
        <v>228</v>
      </c>
      <c r="J561" s="5" t="s">
        <v>61</v>
      </c>
      <c r="K561" s="6" t="s">
        <v>100</v>
      </c>
      <c r="L561" s="6" t="s">
        <v>101</v>
      </c>
      <c r="M561" s="15">
        <v>46217</v>
      </c>
      <c r="N561" s="16" t="str">
        <f>IFERROR(VLOOKUP(A561,[1]Hoja1!$A$2:$J$68,10,FALSE), " - ")</f>
        <v>FALTA MATERIAL</v>
      </c>
    </row>
    <row r="562" spans="1:14" x14ac:dyDescent="0.3">
      <c r="A562" s="2">
        <v>37149</v>
      </c>
      <c r="B562" s="2" t="s">
        <v>12</v>
      </c>
      <c r="C562" s="3" t="s">
        <v>13</v>
      </c>
      <c r="D562" s="2" t="s">
        <v>14</v>
      </c>
      <c r="E562" s="12">
        <v>46213</v>
      </c>
      <c r="F562" s="2" t="s">
        <v>15</v>
      </c>
      <c r="G562" s="3" t="s">
        <v>97</v>
      </c>
      <c r="H562" s="3" t="s">
        <v>98</v>
      </c>
      <c r="I562" s="4" t="s">
        <v>402</v>
      </c>
      <c r="J562" s="2" t="s">
        <v>61</v>
      </c>
      <c r="K562" s="3" t="s">
        <v>305</v>
      </c>
      <c r="L562" s="3" t="s">
        <v>101</v>
      </c>
      <c r="M562" s="15">
        <v>46217</v>
      </c>
      <c r="N562" s="16" t="str">
        <f>IFERROR(VLOOKUP(A562,[1]Hoja1!$A$2:$J$68,10,FALSE), " - ")</f>
        <v>FALTA MATERIAL</v>
      </c>
    </row>
    <row r="563" spans="1:14" x14ac:dyDescent="0.3">
      <c r="A563" s="5">
        <v>37149</v>
      </c>
      <c r="B563" s="5" t="s">
        <v>12</v>
      </c>
      <c r="C563" s="6" t="s">
        <v>13</v>
      </c>
      <c r="D563" s="5" t="s">
        <v>14</v>
      </c>
      <c r="E563" s="13">
        <v>46213</v>
      </c>
      <c r="F563" s="5" t="s">
        <v>15</v>
      </c>
      <c r="G563" s="6" t="s">
        <v>97</v>
      </c>
      <c r="H563" s="6" t="s">
        <v>98</v>
      </c>
      <c r="I563" s="4" t="s">
        <v>763</v>
      </c>
      <c r="J563" s="5" t="s">
        <v>61</v>
      </c>
      <c r="K563" s="6" t="s">
        <v>35</v>
      </c>
      <c r="L563" s="6" t="s">
        <v>101</v>
      </c>
      <c r="M563" s="15">
        <v>46217</v>
      </c>
      <c r="N563" s="16" t="str">
        <f>IFERROR(VLOOKUP(A563,[1]Hoja1!$A$2:$J$68,10,FALSE), " - ")</f>
        <v>FALTA MATERIAL</v>
      </c>
    </row>
    <row r="564" spans="1:14" x14ac:dyDescent="0.3">
      <c r="A564" s="2">
        <v>37149</v>
      </c>
      <c r="B564" s="2" t="s">
        <v>12</v>
      </c>
      <c r="C564" s="3" t="s">
        <v>13</v>
      </c>
      <c r="D564" s="2" t="s">
        <v>14</v>
      </c>
      <c r="E564" s="12">
        <v>46213</v>
      </c>
      <c r="F564" s="2" t="s">
        <v>15</v>
      </c>
      <c r="G564" s="3" t="s">
        <v>97</v>
      </c>
      <c r="H564" s="3" t="s">
        <v>98</v>
      </c>
      <c r="I564" s="4" t="s">
        <v>806</v>
      </c>
      <c r="J564" s="2" t="s">
        <v>61</v>
      </c>
      <c r="K564" s="3" t="s">
        <v>292</v>
      </c>
      <c r="L564" s="3" t="s">
        <v>101</v>
      </c>
      <c r="M564" s="15">
        <v>46217</v>
      </c>
      <c r="N564" s="16" t="str">
        <f>IFERROR(VLOOKUP(A564,[1]Hoja1!$A$2:$J$68,10,FALSE), " - ")</f>
        <v>FALTA MATERIAL</v>
      </c>
    </row>
    <row r="565" spans="1:14" x14ac:dyDescent="0.3">
      <c r="A565" s="5">
        <v>37149</v>
      </c>
      <c r="B565" s="5" t="s">
        <v>12</v>
      </c>
      <c r="C565" s="6" t="s">
        <v>13</v>
      </c>
      <c r="D565" s="5" t="s">
        <v>14</v>
      </c>
      <c r="E565" s="13">
        <v>46213</v>
      </c>
      <c r="F565" s="5" t="s">
        <v>15</v>
      </c>
      <c r="G565" s="6" t="s">
        <v>97</v>
      </c>
      <c r="H565" s="6" t="s">
        <v>98</v>
      </c>
      <c r="I565" s="4" t="s">
        <v>807</v>
      </c>
      <c r="J565" s="5" t="s">
        <v>61</v>
      </c>
      <c r="K565" s="6" t="s">
        <v>35</v>
      </c>
      <c r="L565" s="6" t="s">
        <v>101</v>
      </c>
      <c r="M565" s="15">
        <v>46217</v>
      </c>
      <c r="N565" s="16" t="str">
        <f>IFERROR(VLOOKUP(A565,[1]Hoja1!$A$2:$J$68,10,FALSE), " - ")</f>
        <v>FALTA MATERIAL</v>
      </c>
    </row>
    <row r="566" spans="1:14" x14ac:dyDescent="0.3">
      <c r="A566" s="2">
        <v>37216</v>
      </c>
      <c r="B566" s="2" t="s">
        <v>12</v>
      </c>
      <c r="C566" s="3" t="s">
        <v>13</v>
      </c>
      <c r="D566" s="2" t="s">
        <v>14</v>
      </c>
      <c r="E566" s="12">
        <v>46215</v>
      </c>
      <c r="F566" s="2" t="s">
        <v>15</v>
      </c>
      <c r="G566" s="3" t="s">
        <v>474</v>
      </c>
      <c r="H566" s="3" t="s">
        <v>137</v>
      </c>
      <c r="I566" s="4" t="s">
        <v>619</v>
      </c>
      <c r="J566" s="2" t="s">
        <v>61</v>
      </c>
      <c r="K566" s="3" t="s">
        <v>35</v>
      </c>
      <c r="L566" s="3" t="s">
        <v>620</v>
      </c>
      <c r="M566" s="15">
        <v>46217</v>
      </c>
      <c r="N566" s="16" t="str">
        <f>IFERROR(VLOOKUP(A566,[1]Hoja1!$A$2:$J$68,10,FALSE), " - ")</f>
        <v xml:space="preserve"> - </v>
      </c>
    </row>
    <row r="567" spans="1:14" x14ac:dyDescent="0.3">
      <c r="A567" s="5">
        <v>37216</v>
      </c>
      <c r="B567" s="5" t="s">
        <v>12</v>
      </c>
      <c r="C567" s="6" t="s">
        <v>13</v>
      </c>
      <c r="D567" s="5" t="s">
        <v>14</v>
      </c>
      <c r="E567" s="13">
        <v>46215</v>
      </c>
      <c r="F567" s="5" t="s">
        <v>15</v>
      </c>
      <c r="G567" s="6" t="s">
        <v>474</v>
      </c>
      <c r="H567" s="6" t="s">
        <v>137</v>
      </c>
      <c r="I567" s="4" t="s">
        <v>658</v>
      </c>
      <c r="J567" s="5" t="s">
        <v>61</v>
      </c>
      <c r="K567" s="6" t="s">
        <v>35</v>
      </c>
      <c r="L567" s="6" t="s">
        <v>620</v>
      </c>
      <c r="M567" s="15">
        <v>46217</v>
      </c>
      <c r="N567" s="16" t="str">
        <f>IFERROR(VLOOKUP(A567,[1]Hoja1!$A$2:$J$68,10,FALSE), " - ")</f>
        <v xml:space="preserve"> - </v>
      </c>
    </row>
    <row r="568" spans="1:14" x14ac:dyDescent="0.3">
      <c r="A568" s="5">
        <v>37217</v>
      </c>
      <c r="B568" s="5" t="s">
        <v>33</v>
      </c>
      <c r="C568" s="6" t="s">
        <v>13</v>
      </c>
      <c r="D568" s="5" t="s">
        <v>14</v>
      </c>
      <c r="E568" s="13">
        <v>46215</v>
      </c>
      <c r="F568" s="5" t="s">
        <v>15</v>
      </c>
      <c r="G568" s="6" t="s">
        <v>474</v>
      </c>
      <c r="H568" s="6" t="s">
        <v>137</v>
      </c>
      <c r="I568" s="8" t="s">
        <v>138</v>
      </c>
      <c r="J568" s="5" t="s">
        <v>61</v>
      </c>
      <c r="K568" s="6" t="s">
        <v>69</v>
      </c>
      <c r="L568" s="6" t="s">
        <v>621</v>
      </c>
      <c r="M568" s="15">
        <v>46217</v>
      </c>
      <c r="N568" s="16" t="str">
        <f>IFERROR(VLOOKUP(A568,[1]Hoja1!$A$2:$J$68,10,FALSE), " - ")</f>
        <v xml:space="preserve"> - </v>
      </c>
    </row>
    <row r="569" spans="1:14" x14ac:dyDescent="0.3">
      <c r="A569" s="5">
        <v>37218</v>
      </c>
      <c r="B569" s="5" t="s">
        <v>33</v>
      </c>
      <c r="C569" s="6" t="s">
        <v>13</v>
      </c>
      <c r="D569" s="5" t="s">
        <v>14</v>
      </c>
      <c r="E569" s="13">
        <v>46215</v>
      </c>
      <c r="F569" s="5" t="s">
        <v>15</v>
      </c>
      <c r="G569" s="6" t="s">
        <v>474</v>
      </c>
      <c r="H569" s="6" t="s">
        <v>137</v>
      </c>
      <c r="I569" s="4" t="s">
        <v>34</v>
      </c>
      <c r="J569" s="5" t="s">
        <v>61</v>
      </c>
      <c r="K569" s="6" t="s">
        <v>35</v>
      </c>
      <c r="L569" s="6" t="s">
        <v>364</v>
      </c>
      <c r="M569" s="15">
        <v>46217</v>
      </c>
      <c r="N569" s="16" t="str">
        <f>IFERROR(VLOOKUP(A569,[1]Hoja1!$A$2:$J$68,10,FALSE), " - ")</f>
        <v xml:space="preserve"> - </v>
      </c>
    </row>
    <row r="570" spans="1:14" x14ac:dyDescent="0.3">
      <c r="A570" s="2">
        <v>37219</v>
      </c>
      <c r="B570" s="2" t="s">
        <v>33</v>
      </c>
      <c r="C570" s="3" t="s">
        <v>13</v>
      </c>
      <c r="D570" s="2" t="s">
        <v>14</v>
      </c>
      <c r="E570" s="12">
        <v>46215</v>
      </c>
      <c r="F570" s="2" t="s">
        <v>15</v>
      </c>
      <c r="G570" s="3" t="s">
        <v>474</v>
      </c>
      <c r="H570" s="3" t="s">
        <v>137</v>
      </c>
      <c r="I570" s="8" t="s">
        <v>115</v>
      </c>
      <c r="J570" s="2" t="s">
        <v>61</v>
      </c>
      <c r="K570" s="3" t="s">
        <v>69</v>
      </c>
      <c r="L570" s="3" t="s">
        <v>707</v>
      </c>
      <c r="M570" s="15">
        <v>46217</v>
      </c>
      <c r="N570" s="16" t="str">
        <f>IFERROR(VLOOKUP(A570,[1]Hoja1!$A$2:$J$68,10,FALSE), " - ")</f>
        <v xml:space="preserve"> - </v>
      </c>
    </row>
    <row r="571" spans="1:14" x14ac:dyDescent="0.3">
      <c r="A571" s="5">
        <v>37221</v>
      </c>
      <c r="B571" s="5" t="s">
        <v>12</v>
      </c>
      <c r="C571" s="6" t="s">
        <v>80</v>
      </c>
      <c r="D571" s="5" t="s">
        <v>14</v>
      </c>
      <c r="E571" s="13">
        <v>46215</v>
      </c>
      <c r="F571" s="5" t="s">
        <v>15</v>
      </c>
      <c r="G571" s="6" t="s">
        <v>81</v>
      </c>
      <c r="H571" s="6" t="s">
        <v>82</v>
      </c>
      <c r="I571" s="8" t="s">
        <v>83</v>
      </c>
      <c r="J571" s="5" t="s">
        <v>61</v>
      </c>
      <c r="K571" s="6" t="s">
        <v>69</v>
      </c>
      <c r="L571" s="6" t="s">
        <v>84</v>
      </c>
      <c r="M571" s="15">
        <v>46217</v>
      </c>
      <c r="N571" s="16" t="str">
        <f>IFERROR(VLOOKUP(A571,[1]Hoja1!$A$2:$J$68,10,FALSE), " - ")</f>
        <v xml:space="preserve"> - </v>
      </c>
    </row>
    <row r="572" spans="1:14" x14ac:dyDescent="0.3">
      <c r="A572" s="5">
        <v>37226</v>
      </c>
      <c r="B572" s="5" t="s">
        <v>12</v>
      </c>
      <c r="C572" s="6" t="s">
        <v>63</v>
      </c>
      <c r="D572" s="5" t="s">
        <v>14</v>
      </c>
      <c r="E572" s="13">
        <v>46215</v>
      </c>
      <c r="F572" s="5" t="s">
        <v>15</v>
      </c>
      <c r="G572" s="6" t="s">
        <v>543</v>
      </c>
      <c r="H572" s="6" t="s">
        <v>38</v>
      </c>
      <c r="I572" s="8" t="s">
        <v>544</v>
      </c>
      <c r="J572" s="5" t="s">
        <v>61</v>
      </c>
      <c r="K572" s="6" t="s">
        <v>69</v>
      </c>
      <c r="L572" s="6" t="s">
        <v>545</v>
      </c>
      <c r="M572" s="15">
        <v>46217</v>
      </c>
      <c r="N572" s="16" t="str">
        <f>IFERROR(VLOOKUP(A572,[1]Hoja1!$A$2:$J$68,10,FALSE), " - ")</f>
        <v xml:space="preserve"> - </v>
      </c>
    </row>
    <row r="573" spans="1:14" x14ac:dyDescent="0.3">
      <c r="A573" s="2">
        <v>37226</v>
      </c>
      <c r="B573" s="2" t="s">
        <v>12</v>
      </c>
      <c r="C573" s="3" t="s">
        <v>63</v>
      </c>
      <c r="D573" s="2" t="s">
        <v>14</v>
      </c>
      <c r="E573" s="12">
        <v>46215</v>
      </c>
      <c r="F573" s="2" t="s">
        <v>15</v>
      </c>
      <c r="G573" s="3" t="s">
        <v>543</v>
      </c>
      <c r="H573" s="3" t="s">
        <v>38</v>
      </c>
      <c r="I573" s="8" t="s">
        <v>596</v>
      </c>
      <c r="J573" s="2" t="s">
        <v>61</v>
      </c>
      <c r="K573" s="3" t="s">
        <v>69</v>
      </c>
      <c r="L573" s="3" t="s">
        <v>545</v>
      </c>
      <c r="M573" s="15">
        <v>46217</v>
      </c>
      <c r="N573" s="16" t="str">
        <f>IFERROR(VLOOKUP(A573,[1]Hoja1!$A$2:$J$68,10,FALSE), " - ")</f>
        <v xml:space="preserve"> - </v>
      </c>
    </row>
    <row r="574" spans="1:14" x14ac:dyDescent="0.3">
      <c r="A574" s="2">
        <v>37226</v>
      </c>
      <c r="B574" s="2" t="s">
        <v>12</v>
      </c>
      <c r="C574" s="3" t="s">
        <v>63</v>
      </c>
      <c r="D574" s="2" t="s">
        <v>14</v>
      </c>
      <c r="E574" s="12">
        <v>46215</v>
      </c>
      <c r="F574" s="2" t="s">
        <v>15</v>
      </c>
      <c r="G574" s="3" t="s">
        <v>543</v>
      </c>
      <c r="H574" s="3" t="s">
        <v>38</v>
      </c>
      <c r="I574" s="8" t="s">
        <v>216</v>
      </c>
      <c r="J574" s="2" t="s">
        <v>61</v>
      </c>
      <c r="K574" s="3" t="s">
        <v>69</v>
      </c>
      <c r="L574" s="3" t="s">
        <v>545</v>
      </c>
      <c r="M574" s="15">
        <v>46217</v>
      </c>
      <c r="N574" s="16" t="str">
        <f>IFERROR(VLOOKUP(A574,[1]Hoja1!$A$2:$J$68,10,FALSE), " - ")</f>
        <v xml:space="preserve"> - </v>
      </c>
    </row>
    <row r="575" spans="1:14" x14ac:dyDescent="0.3">
      <c r="A575" s="5">
        <v>37227</v>
      </c>
      <c r="B575" s="5" t="s">
        <v>12</v>
      </c>
      <c r="C575" s="6" t="s">
        <v>63</v>
      </c>
      <c r="D575" s="5" t="s">
        <v>14</v>
      </c>
      <c r="E575" s="13">
        <v>46215</v>
      </c>
      <c r="F575" s="5" t="s">
        <v>15</v>
      </c>
      <c r="G575" s="6" t="s">
        <v>735</v>
      </c>
      <c r="H575" s="6" t="s">
        <v>189</v>
      </c>
      <c r="I575" s="8" t="s">
        <v>736</v>
      </c>
      <c r="J575" s="5" t="s">
        <v>61</v>
      </c>
      <c r="K575" s="6" t="s">
        <v>69</v>
      </c>
      <c r="L575" s="6" t="s">
        <v>737</v>
      </c>
      <c r="M575" s="15">
        <v>46217</v>
      </c>
      <c r="N575" s="16" t="str">
        <f>IFERROR(VLOOKUP(A575,[1]Hoja1!$A$2:$J$68,10,FALSE), " - ")</f>
        <v xml:space="preserve"> - </v>
      </c>
    </row>
    <row r="576" spans="1:14" x14ac:dyDescent="0.3">
      <c r="A576" s="2">
        <v>37230</v>
      </c>
      <c r="B576" s="2" t="s">
        <v>33</v>
      </c>
      <c r="C576" s="3" t="s">
        <v>63</v>
      </c>
      <c r="D576" s="2" t="s">
        <v>14</v>
      </c>
      <c r="E576" s="12">
        <v>46215</v>
      </c>
      <c r="F576" s="2" t="s">
        <v>15</v>
      </c>
      <c r="G576" s="3" t="s">
        <v>479</v>
      </c>
      <c r="H576" s="3" t="s">
        <v>196</v>
      </c>
      <c r="I576" s="8" t="s">
        <v>115</v>
      </c>
      <c r="J576" s="2" t="s">
        <v>61</v>
      </c>
      <c r="K576" s="3" t="s">
        <v>69</v>
      </c>
      <c r="L576" s="3" t="s">
        <v>659</v>
      </c>
      <c r="M576" s="15">
        <v>46217</v>
      </c>
      <c r="N576" s="16" t="str">
        <f>IFERROR(VLOOKUP(A576,[1]Hoja1!$A$2:$J$68,10,FALSE), " - ")</f>
        <v xml:space="preserve"> - </v>
      </c>
    </row>
    <row r="577" spans="1:14" x14ac:dyDescent="0.3">
      <c r="A577" s="5">
        <v>37231</v>
      </c>
      <c r="B577" s="5" t="s">
        <v>33</v>
      </c>
      <c r="C577" s="6" t="s">
        <v>63</v>
      </c>
      <c r="D577" s="5" t="s">
        <v>14</v>
      </c>
      <c r="E577" s="13">
        <v>46215</v>
      </c>
      <c r="F577" s="5" t="s">
        <v>15</v>
      </c>
      <c r="G577" s="6" t="s">
        <v>479</v>
      </c>
      <c r="H577" s="6" t="s">
        <v>196</v>
      </c>
      <c r="I577" s="8" t="s">
        <v>115</v>
      </c>
      <c r="J577" s="5" t="s">
        <v>61</v>
      </c>
      <c r="K577" s="6" t="s">
        <v>69</v>
      </c>
      <c r="L577" s="6" t="s">
        <v>708</v>
      </c>
      <c r="M577" s="15">
        <v>46217</v>
      </c>
      <c r="N577" s="16" t="str">
        <f>IFERROR(VLOOKUP(A577,[1]Hoja1!$A$2:$J$68,10,FALSE), " - ")</f>
        <v xml:space="preserve"> - </v>
      </c>
    </row>
    <row r="578" spans="1:14" x14ac:dyDescent="0.3">
      <c r="A578" s="2">
        <v>37232</v>
      </c>
      <c r="B578" s="2" t="s">
        <v>33</v>
      </c>
      <c r="C578" s="3" t="s">
        <v>63</v>
      </c>
      <c r="D578" s="2" t="s">
        <v>14</v>
      </c>
      <c r="E578" s="12">
        <v>46215</v>
      </c>
      <c r="F578" s="2" t="s">
        <v>15</v>
      </c>
      <c r="G578" s="3" t="s">
        <v>479</v>
      </c>
      <c r="H578" s="3" t="s">
        <v>196</v>
      </c>
      <c r="I578" s="8" t="s">
        <v>115</v>
      </c>
      <c r="J578" s="2" t="s">
        <v>61</v>
      </c>
      <c r="K578" s="3" t="s">
        <v>69</v>
      </c>
      <c r="L578" s="3" t="s">
        <v>708</v>
      </c>
      <c r="M578" s="15">
        <v>46217</v>
      </c>
      <c r="N578" s="16" t="str">
        <f>IFERROR(VLOOKUP(A578,[1]Hoja1!$A$2:$J$68,10,FALSE), " - ")</f>
        <v xml:space="preserve"> - </v>
      </c>
    </row>
    <row r="579" spans="1:14" x14ac:dyDescent="0.3">
      <c r="A579" s="2">
        <v>37247</v>
      </c>
      <c r="B579" s="2" t="s">
        <v>12</v>
      </c>
      <c r="C579" s="3" t="s">
        <v>13</v>
      </c>
      <c r="D579" s="2" t="s">
        <v>14</v>
      </c>
      <c r="E579" s="12">
        <v>46215</v>
      </c>
      <c r="F579" s="2" t="s">
        <v>15</v>
      </c>
      <c r="G579" s="3" t="s">
        <v>267</v>
      </c>
      <c r="H579" s="3" t="s">
        <v>17</v>
      </c>
      <c r="I579" s="4" t="s">
        <v>577</v>
      </c>
      <c r="J579" s="2" t="s">
        <v>61</v>
      </c>
      <c r="K579" s="3" t="s">
        <v>35</v>
      </c>
      <c r="L579" s="3" t="s">
        <v>578</v>
      </c>
      <c r="M579" s="15">
        <v>46217</v>
      </c>
      <c r="N579" s="16" t="str">
        <f>IFERROR(VLOOKUP(A579,[1]Hoja1!$A$2:$J$68,10,FALSE), " - ")</f>
        <v xml:space="preserve"> - </v>
      </c>
    </row>
    <row r="580" spans="1:14" x14ac:dyDescent="0.3">
      <c r="A580" s="2">
        <v>37250</v>
      </c>
      <c r="B580" s="2" t="s">
        <v>33</v>
      </c>
      <c r="C580" s="3" t="s">
        <v>13</v>
      </c>
      <c r="D580" s="2" t="s">
        <v>14</v>
      </c>
      <c r="E580" s="12">
        <v>46215</v>
      </c>
      <c r="F580" s="2" t="s">
        <v>15</v>
      </c>
      <c r="G580" s="3" t="s">
        <v>194</v>
      </c>
      <c r="H580" s="3" t="s">
        <v>59</v>
      </c>
      <c r="I580" s="4" t="s">
        <v>138</v>
      </c>
      <c r="J580" s="2" t="s">
        <v>61</v>
      </c>
      <c r="K580" s="3" t="s">
        <v>139</v>
      </c>
      <c r="L580" s="3" t="s">
        <v>181</v>
      </c>
      <c r="M580" s="15">
        <v>46217</v>
      </c>
      <c r="N580" s="16" t="str">
        <f>IFERROR(VLOOKUP(A580,[1]Hoja1!$A$2:$J$68,10,FALSE), " - ")</f>
        <v xml:space="preserve"> - </v>
      </c>
    </row>
    <row r="581" spans="1:14" x14ac:dyDescent="0.3">
      <c r="A581" s="2">
        <v>37256</v>
      </c>
      <c r="B581" s="2" t="s">
        <v>33</v>
      </c>
      <c r="C581" s="3" t="s">
        <v>80</v>
      </c>
      <c r="D581" s="2" t="s">
        <v>14</v>
      </c>
      <c r="E581" s="12">
        <v>46216</v>
      </c>
      <c r="F581" s="2" t="s">
        <v>15</v>
      </c>
      <c r="G581" s="3" t="s">
        <v>738</v>
      </c>
      <c r="H581" s="3" t="s">
        <v>463</v>
      </c>
      <c r="I581" s="8" t="s">
        <v>138</v>
      </c>
      <c r="J581" s="2" t="s">
        <v>61</v>
      </c>
      <c r="K581" s="3" t="s">
        <v>69</v>
      </c>
      <c r="L581" s="3" t="s">
        <v>739</v>
      </c>
      <c r="M581" s="15">
        <v>46217</v>
      </c>
      <c r="N581" s="16" t="str">
        <f>IFERROR(VLOOKUP(A581,[1]Hoja1!$A$2:$J$68,10,FALSE), " - ")</f>
        <v xml:space="preserve"> - </v>
      </c>
    </row>
    <row r="582" spans="1:14" x14ac:dyDescent="0.3">
      <c r="A582" s="5">
        <v>37257</v>
      </c>
      <c r="B582" s="5" t="s">
        <v>33</v>
      </c>
      <c r="C582" s="6" t="s">
        <v>80</v>
      </c>
      <c r="D582" s="5" t="s">
        <v>14</v>
      </c>
      <c r="E582" s="13">
        <v>46216</v>
      </c>
      <c r="F582" s="5" t="s">
        <v>15</v>
      </c>
      <c r="G582" s="6" t="s">
        <v>738</v>
      </c>
      <c r="H582" s="6" t="s">
        <v>463</v>
      </c>
      <c r="I582" s="8" t="s">
        <v>34</v>
      </c>
      <c r="J582" s="5" t="s">
        <v>61</v>
      </c>
      <c r="K582" s="6" t="s">
        <v>69</v>
      </c>
      <c r="L582" s="6" t="s">
        <v>788</v>
      </c>
      <c r="M582" s="15">
        <v>46217</v>
      </c>
      <c r="N582" s="16" t="str">
        <f>IFERROR(VLOOKUP(A582,[1]Hoja1!$A$2:$J$68,10,FALSE), " - ")</f>
        <v xml:space="preserve"> - </v>
      </c>
    </row>
  </sheetData>
  <autoFilter ref="A1:N582"/>
  <sortState ref="A2:L614">
    <sortCondition ref="E2:E614"/>
    <sortCondition ref="A2:A614"/>
  </sortState>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Auditoría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2026-07-14T14:51:03Z</dcterms:created>
  <dcterms:modified xsi:type="dcterms:W3CDTF">2026-07-16T10:50:53Z</dcterms:modified>
  <cp:category/>
</cp:coreProperties>
</file>