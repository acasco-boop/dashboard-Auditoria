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496"/>
  </bookViews>
  <sheets>
    <sheet name="Auditoría" sheetId="1" r:id="rId1"/>
  </sheets>
  <externalReferences>
    <externalReference r:id="rId2"/>
  </externalReferences>
  <definedNames>
    <definedName name="_xlnm._FilterDatabase" localSheetId="0" hidden="1">Auditoría!$A$1:$V$55</definedName>
  </definedNames>
  <calcPr calcId="162913"/>
</workbook>
</file>

<file path=xl/calcChain.xml><?xml version="1.0" encoding="utf-8"?>
<calcChain xmlns="http://schemas.openxmlformats.org/spreadsheetml/2006/main">
  <c r="K10" i="1" l="1"/>
  <c r="K9" i="1"/>
  <c r="K25" i="1"/>
  <c r="K19" i="1"/>
  <c r="K13" i="1"/>
  <c r="K4" i="1"/>
  <c r="K12" i="1"/>
  <c r="K8" i="1"/>
  <c r="K16" i="1"/>
  <c r="K3" i="1"/>
  <c r="K7" i="1"/>
  <c r="K14" i="1"/>
  <c r="K11" i="1"/>
  <c r="K2" i="1"/>
  <c r="K5" i="1"/>
</calcChain>
</file>

<file path=xl/sharedStrings.xml><?xml version="1.0" encoding="utf-8"?>
<sst xmlns="http://schemas.openxmlformats.org/spreadsheetml/2006/main" count="685" uniqueCount="180">
  <si>
    <t>Nro. Orden</t>
  </si>
  <si>
    <t>Tipo de orden</t>
  </si>
  <si>
    <t>Centros de costos</t>
  </si>
  <si>
    <t>Estado Orden</t>
  </si>
  <si>
    <t>Contabilizada</t>
  </si>
  <si>
    <t>Fecha de la orden</t>
  </si>
  <si>
    <t>Status de documento</t>
  </si>
  <si>
    <t>Equipo</t>
  </si>
  <si>
    <t>Nombre Equipo</t>
  </si>
  <si>
    <t>Tarea</t>
  </si>
  <si>
    <t>Estado Tarea</t>
  </si>
  <si>
    <t>Tipo de Hallazgo</t>
  </si>
  <si>
    <t>Detalle</t>
  </si>
  <si>
    <t>Resultado IA</t>
  </si>
  <si>
    <t>Material Relacionado</t>
  </si>
  <si>
    <t>Confianza IA</t>
  </si>
  <si>
    <t>Justificación IA</t>
  </si>
  <si>
    <t>Correctivo</t>
  </si>
  <si>
    <t>Cerrada</t>
  </si>
  <si>
    <t>No</t>
  </si>
  <si>
    <t>O</t>
  </si>
  <si>
    <t>ATRON 1720</t>
  </si>
  <si>
    <t>Terminada</t>
  </si>
  <si>
    <t>1) Orden sin repuestos asignados</t>
  </si>
  <si>
    <t>Ningún material cargado en la orden</t>
  </si>
  <si>
    <t>SRAF</t>
  </si>
  <si>
    <t>Liberada</t>
  </si>
  <si>
    <t>MQU466</t>
  </si>
  <si>
    <t>SCANIA P360 A6X2</t>
  </si>
  <si>
    <t>Cambiar junta de compresor de aire</t>
  </si>
  <si>
    <t>MNZA</t>
  </si>
  <si>
    <t>LUW863</t>
  </si>
  <si>
    <t>ACOPLADO BARANDA VOLC. 3 EJES</t>
  </si>
  <si>
    <t>Cambiar Cubierta 3DI</t>
  </si>
  <si>
    <t>3) Planificado sin Salida física (Salidas = 0)</t>
  </si>
  <si>
    <t>Materiales planificados con Salida Cero: RECAPADO NEUMATICO 295</t>
  </si>
  <si>
    <t>CIUD</t>
  </si>
  <si>
    <t>Engrase tractor completo</t>
  </si>
  <si>
    <t>GOR390</t>
  </si>
  <si>
    <t>1624</t>
  </si>
  <si>
    <t>Engrase Completo</t>
  </si>
  <si>
    <t>Material de lubricante planificado con Salida Cero: GRASA 62 X 20 KG</t>
  </si>
  <si>
    <t>IBB073</t>
  </si>
  <si>
    <t>S PA 3E 71</t>
  </si>
  <si>
    <t>No iniciada</t>
  </si>
  <si>
    <t>Preventivo</t>
  </si>
  <si>
    <t>OAF644</t>
  </si>
  <si>
    <t>G310</t>
  </si>
  <si>
    <t>Cambiar El Filtro De Polvo (Aire / Calefa)</t>
  </si>
  <si>
    <t>Materiales planificados con Salida Cero: FILTRO DE CABINA - MANN CU37001</t>
  </si>
  <si>
    <t>AG079GA</t>
  </si>
  <si>
    <t>TECTOR EVO 170E28</t>
  </si>
  <si>
    <t>Colocar Vejiga</t>
  </si>
  <si>
    <t>Materiales planificados con Salida Cero: LAMPARA 24V PY21W, DISCO DE CORTE 115 X 1,6 - TYROLIT</t>
  </si>
  <si>
    <t>ATEGO 1725</t>
  </si>
  <si>
    <t>AF491HM</t>
  </si>
  <si>
    <t>SPRINTER 516 CDI FURGON 4325</t>
  </si>
  <si>
    <t>Cambiar rueda por auxilio en ruta</t>
  </si>
  <si>
    <t>OHH590</t>
  </si>
  <si>
    <t>Cambiar lampara h1 24v</t>
  </si>
  <si>
    <t>Materiales planificados con Salida Cero: LAMPARA H1 24V  - NEOLUX</t>
  </si>
  <si>
    <t>Auxilios</t>
  </si>
  <si>
    <t>AD367PZ</t>
  </si>
  <si>
    <t>S.A.P.3E.71</t>
  </si>
  <si>
    <t>Cambiar Cubierta 2DE 1/2 USO</t>
  </si>
  <si>
    <t>AD426IJ</t>
  </si>
  <si>
    <t>AXOR 2541</t>
  </si>
  <si>
    <t>Cambiar lampara h3 24v</t>
  </si>
  <si>
    <t>Materiales planificados con Salida Cero: LAMPARA H3 24V</t>
  </si>
  <si>
    <t>Engraso Plato</t>
  </si>
  <si>
    <t>Cambiar Cubierta 3II</t>
  </si>
  <si>
    <t>Cambiar lampara 5w 24v</t>
  </si>
  <si>
    <t>AF746ED</t>
  </si>
  <si>
    <t>Material de lubricante planificado con Salida Cero: BALDE GRASA LUBRIGON X 20 KG</t>
  </si>
  <si>
    <t>AE812EN</t>
  </si>
  <si>
    <t>SCANIA P410 A6X2</t>
  </si>
  <si>
    <t>Cambiar ruleman de rueda trasera izquierda</t>
  </si>
  <si>
    <t>AD426HX</t>
  </si>
  <si>
    <t>Cambiar comando levanta vidrio</t>
  </si>
  <si>
    <t>Materiales planificados con Salida Cero: COMANDO ALZA CRISTALES MB AXOR (A 005 545 39 13) ORIGINAL</t>
  </si>
  <si>
    <t>Cambiar Cubierta 3DE</t>
  </si>
  <si>
    <t>AF066NS</t>
  </si>
  <si>
    <t>Cambiar Rueda Completa C/Llanta Delantera Der</t>
  </si>
  <si>
    <t>Materiales planificados con Salida Cero: CUBIERTA LINEAL 275 R22.5 - FATE</t>
  </si>
  <si>
    <t>Limpieza Y Desengrase De Caja Termica</t>
  </si>
  <si>
    <t>OHH596</t>
  </si>
  <si>
    <t>Cambio Fusible</t>
  </si>
  <si>
    <t>Materiales planificados con Salida Cero: FUSIBLE 10 AMP - GENROD</t>
  </si>
  <si>
    <t>NWV171</t>
  </si>
  <si>
    <t>16-BDAS. VOLC. 3 EJES</t>
  </si>
  <si>
    <t>Sin tarea que requiera material</t>
  </si>
  <si>
    <t>N/A</t>
  </si>
  <si>
    <t>4) Repuesto sin tarea (IA)</t>
  </si>
  <si>
    <t>Sin tarea asociada</t>
  </si>
  <si>
    <t>Insumo</t>
  </si>
  <si>
    <t>AXOR 1933</t>
  </si>
  <si>
    <t>OZH811</t>
  </si>
  <si>
    <t>Material "REMACHES 3.5 X20 MM X UN" (Salidas: 4) no coincide con ninguna tarea de la orden</t>
  </si>
  <si>
    <t>1318</t>
  </si>
  <si>
    <t>LFK339</t>
  </si>
  <si>
    <t>AXOR 2035</t>
  </si>
  <si>
    <t>38594</t>
  </si>
  <si>
    <t>OAF635</t>
  </si>
  <si>
    <t>Material "RECAPADO NEUMATICO 295" (Salidas: 1) cargado pero ninguna tarea requiere material</t>
  </si>
  <si>
    <t>Material "REMACHE POP ALUMINIO DE 5MM DIAMETRO X 20MM LARGO" (Salidas: 5) no coincide con ninguna tarea de la orden</t>
  </si>
  <si>
    <t>39004</t>
  </si>
  <si>
    <t>ESTRUCTURA MZ</t>
  </si>
  <si>
    <t>ESTRUCTURA MENDOZA</t>
  </si>
  <si>
    <t>Material "KIT DE REPARACION DE COMPRESOR DE AIRE (85MM) MB ATEGO 1725/1419 - PELLACANI (2003111)" (Salidas: 2) cargado pero ninguna tarea requiere material</t>
  </si>
  <si>
    <t>Material "THINNER X 18LT" (Salidas: 14) cargado pero ninguna tarea requiere material</t>
  </si>
  <si>
    <t>39305</t>
  </si>
  <si>
    <t>HUY047</t>
  </si>
  <si>
    <t>Material "REMACHE POP ALUMINIO DE 5MM DIAMETRO X 20MM LARGO" (Salidas: 1) no coincide con ninguna tarea de la orden</t>
  </si>
  <si>
    <t>Material "CAÑO POLIAMIDA TECALAN DE 6MM X MTS" (Salidas: 2) no coincide con ninguna tarea de la orden</t>
  </si>
  <si>
    <t>39339</t>
  </si>
  <si>
    <t>Material "ACOPLE RÁPIDO RECTO DE 12MM (UNIVERSAL)" (Salidas: 1) cargado pero ninguna tarea requiere material</t>
  </si>
  <si>
    <t>39343</t>
  </si>
  <si>
    <t>OJG097</t>
  </si>
  <si>
    <t>Material "TERMINAL OJAL DE 6MM" (Salidas: 1) no coincide con ninguna tarea de la orden</t>
  </si>
  <si>
    <t>39519</t>
  </si>
  <si>
    <t>AF737MP</t>
  </si>
  <si>
    <t>ATEGO 1721</t>
  </si>
  <si>
    <t>Material "TERMINAL PALA HEMBRA 6.3MM" (Salidas: 2) no coincide con ninguna tarea de la orden</t>
  </si>
  <si>
    <t>39532</t>
  </si>
  <si>
    <t>AD367PX</t>
  </si>
  <si>
    <t>Material "REMACHE POP ALUMINIO DE 5MM DIAMETRO X 20MM LARGO" (Salidas: 2) no coincide con ninguna tarea de la orden</t>
  </si>
  <si>
    <t>39534</t>
  </si>
  <si>
    <t>KBV620</t>
  </si>
  <si>
    <t>Material "TERMINAL OJAL DE 10MM" (Salidas: 1) no coincide con ninguna tarea de la orden</t>
  </si>
  <si>
    <t>39540</t>
  </si>
  <si>
    <t>KLY952</t>
  </si>
  <si>
    <t>ATEGO 1418</t>
  </si>
  <si>
    <t>Material "ACOPLE RÁPIDO RECTO DE 6MM (UNIVERSAL)" (Salidas: 1) no coincide con ninguna tarea de la orden</t>
  </si>
  <si>
    <t>39634</t>
  </si>
  <si>
    <t>AF804RA</t>
  </si>
  <si>
    <t>ATEGO 1419</t>
  </si>
  <si>
    <t>Material "DISCO FLAP ZIRCONIO 115 X 22,23MM G80 BASIC ECO - TYROLIT" (Salidas: 1) no coincide con ninguna tarea de la orden</t>
  </si>
  <si>
    <t>39636</t>
  </si>
  <si>
    <t>AG238NS</t>
  </si>
  <si>
    <t>ATEGO 1729</t>
  </si>
  <si>
    <t>Material "ACOPLE RAPIDO RECTO DE 10MM" (Salidas: 2) no coincide con ninguna tarea de la orden</t>
  </si>
  <si>
    <t>Material "ACOPLE RÁPIDO RECTO DE 12MM (UNIVERSAL)" (Salidas: 1) no coincide con ninguna tarea de la orden</t>
  </si>
  <si>
    <t>Material "CAÑO POLIAMIDA DE 3/8"" X MT" (Salidas: 2.5) no coincide con ninguna tarea de la orden</t>
  </si>
  <si>
    <t>40277</t>
  </si>
  <si>
    <t>KUF606</t>
  </si>
  <si>
    <t>Material "CUBIERTA LINEAL 295 R22.5 - FATE" (Salidas: 2) cargado pero ninguna tarea requiere material</t>
  </si>
  <si>
    <t>40293</t>
  </si>
  <si>
    <t>HRJ002</t>
  </si>
  <si>
    <t>Material "ACEITE 15W40 XV300 X 205LT (TAMBOR)" (Salidas: 20) cargado pero ninguna tarea requiere material</t>
  </si>
  <si>
    <t>Material "FILTRO DE AIRE MB 712/914 - MANN C 20457/1" (Salidas: 1) cargado pero ninguna tarea requiere material</t>
  </si>
  <si>
    <t>Material "UNION DE BOMBA DE AGUA MB 1720/1624/1318 (A 936 203 33 36) ORIGINAL" (Salidas: 1) cargado pero ninguna tarea requiere material</t>
  </si>
  <si>
    <t>Material "CORREA 8PK 1370" (Salidas: 1) cargado pero ninguna tarea requiere material</t>
  </si>
  <si>
    <t>Material "TENSOR DE CORREA MB 1624 (A 906 200 67 70) ORIGINAL" (Salidas: 1) cargado pero ninguna tarea requiere material</t>
  </si>
  <si>
    <t>Material "FILTRO DE AIRE APU - MANN TB1394/16X" (Salidas: 1) cargado pero ninguna tarea requiere material</t>
  </si>
  <si>
    <t>Material "FILTRO DE ACEITE 6 CILINDROS MB 1318/1218/1215/914/712/1418/915/815 - MANN HU931/5X" (Salidas: 1) cargado pero ninguna tarea requiere material</t>
  </si>
  <si>
    <t>Material "FILTRO DE COMBUSTIBLE - MANN PU1046/1X" (Salidas: 1) cargado pero ninguna tarea requiere material</t>
  </si>
  <si>
    <t>Material "JUNTA DE BOMBA DE AGUA TERMOSTATO (OM904/906) MB 1933/ATEGO 1725 (A 906 203 01 80) - PAMPA (015534AG" (Salidas: 1) cargado pero ninguna tarea requiere material</t>
  </si>
  <si>
    <t>Material "FILTRO TRAMPA DE AGUA - WIX (WF 10288)" (Salidas: 1) cargado pero ninguna tarea requiere material</t>
  </si>
  <si>
    <t>40301</t>
  </si>
  <si>
    <t>Material "PULMON DE FRENO 24/30 (ENCASTRE PARA CALIPER TRASERO) - MKF" (Salidas: 2) no coincide con ninguna tarea de la orden</t>
  </si>
  <si>
    <t>40308</t>
  </si>
  <si>
    <t>Material "ACOPLE RAPIDO RECTO DE 8MM CON ROSCA MACHO 1/4" (Salidas: 1) no coincide con ninguna tarea de la orden</t>
  </si>
  <si>
    <t>40319</t>
  </si>
  <si>
    <t>AF461DV</t>
  </si>
  <si>
    <t>SPRINTER 316 CDI FURGON 3665</t>
  </si>
  <si>
    <t>Material "PARCHE PARA CAMARA (10U) TG-40" (Salidas: 1) cargado pero ninguna tarea requiere material</t>
  </si>
  <si>
    <t>Material "PARCHES DE GOMAS RAC 10" (Salidas: 1) cargado pero ninguna tarea requiere material</t>
  </si>
  <si>
    <t>40325</t>
  </si>
  <si>
    <t>KPQ389</t>
  </si>
  <si>
    <t>Control</t>
  </si>
  <si>
    <t>Repuestas.</t>
  </si>
  <si>
    <t>Descarga</t>
  </si>
  <si>
    <t>Estados Control</t>
  </si>
  <si>
    <t>Estados OK</t>
  </si>
  <si>
    <t>Falta Consumo</t>
  </si>
  <si>
    <t>Ok contabilizar Si Corresponde</t>
  </si>
  <si>
    <t xml:space="preserve">OK  </t>
  </si>
  <si>
    <t>Falta Tarea</t>
  </si>
  <si>
    <t>OK   (Rep perdida de aire)</t>
  </si>
  <si>
    <t>Aclarar en Tarea Cual Cubierta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</si>
</sst>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9FAFB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left" vertical="center"/>
    </xf>
    <xf numFmtId="14" fontId="0" fillId="0" borderId="0" xfId="0" applyNumberFormat="1"/>
    <xf numFmtId="0" fontId="0" fillId="0" borderId="1" xfId="0" applyBorder="1"/>
    <xf numFmtId="0" fontId="0" fillId="4" borderId="0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uditoria_Mantenimiento_Generado%20(25-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oría"/>
    </sheetNames>
    <sheetDataSet>
      <sheetData sheetId="0">
        <row r="2">
          <cell r="A2">
            <v>38411</v>
          </cell>
          <cell r="B2" t="str">
            <v>Correctivo</v>
          </cell>
          <cell r="C2" t="str">
            <v>MNZA</v>
          </cell>
          <cell r="D2" t="str">
            <v>Liberada</v>
          </cell>
          <cell r="E2" t="str">
            <v>No</v>
          </cell>
          <cell r="F2">
            <v>46236</v>
          </cell>
          <cell r="G2" t="str">
            <v>O</v>
          </cell>
          <cell r="H2" t="str">
            <v>LUW863</v>
          </cell>
          <cell r="I2" t="str">
            <v>ACOPLADO BARANDA VOLC. 3 EJES</v>
          </cell>
          <cell r="J2" t="str">
            <v>Cambiar Cubierta 3DE</v>
          </cell>
          <cell r="K2" t="str">
            <v>Falta Consumo</v>
          </cell>
          <cell r="L2"/>
          <cell r="M2" t="str">
            <v>Terminada</v>
          </cell>
          <cell r="N2" t="str">
            <v>3) Planificado sin Salida física (Salidas = 0)</v>
          </cell>
          <cell r="O2" t="str">
            <v>Materiales planificados con Salida Cero: RECAPADO NEUMATICO 295</v>
          </cell>
          <cell r="T2">
            <v>46259</v>
          </cell>
          <cell r="U2">
            <v>46248</v>
          </cell>
        </row>
        <row r="3">
          <cell r="A3">
            <v>38411</v>
          </cell>
          <cell r="B3" t="str">
            <v>Correctivo</v>
          </cell>
          <cell r="C3" t="str">
            <v>MNZA</v>
          </cell>
          <cell r="D3" t="str">
            <v>Liberada</v>
          </cell>
          <cell r="E3" t="str">
            <v>No</v>
          </cell>
          <cell r="F3">
            <v>46236</v>
          </cell>
          <cell r="G3" t="str">
            <v>O</v>
          </cell>
          <cell r="H3" t="str">
            <v>LUW863</v>
          </cell>
          <cell r="I3" t="str">
            <v>ACOPLADO BARANDA VOLC. 3 EJES</v>
          </cell>
          <cell r="J3" t="str">
            <v>Cambiar Cubierta 3DI</v>
          </cell>
          <cell r="K3" t="str">
            <v>Falta Consumo</v>
          </cell>
          <cell r="L3"/>
          <cell r="M3" t="str">
            <v>Terminada</v>
          </cell>
          <cell r="N3" t="str">
            <v>3) Planificado sin Salida física (Salidas = 0)</v>
          </cell>
          <cell r="O3" t="str">
            <v>Materiales planificados con Salida Cero: RECAPADO NEUMATICO 295</v>
          </cell>
          <cell r="T3">
            <v>46259</v>
          </cell>
          <cell r="U3">
            <v>46248</v>
          </cell>
        </row>
        <row r="4">
          <cell r="A4">
            <v>38411</v>
          </cell>
          <cell r="B4" t="str">
            <v>Correctivo</v>
          </cell>
          <cell r="C4" t="str">
            <v>MNZA</v>
          </cell>
          <cell r="D4" t="str">
            <v>Liberada</v>
          </cell>
          <cell r="E4" t="str">
            <v>No</v>
          </cell>
          <cell r="F4">
            <v>46236</v>
          </cell>
          <cell r="G4" t="str">
            <v>O</v>
          </cell>
          <cell r="H4" t="str">
            <v>LUW863</v>
          </cell>
          <cell r="I4" t="str">
            <v>ACOPLADO BARANDA VOLC. 3 EJES</v>
          </cell>
          <cell r="J4" t="str">
            <v>Cambiar Cubierta 3II</v>
          </cell>
          <cell r="K4" t="str">
            <v>Falta Consumo</v>
          </cell>
          <cell r="L4"/>
          <cell r="M4" t="str">
            <v>Terminada</v>
          </cell>
          <cell r="N4" t="str">
            <v>3) Planificado sin Salida física (Salidas = 0)</v>
          </cell>
          <cell r="O4" t="str">
            <v>Materiales planificados con Salida Cero: RECAPADO NEUMATICO 295</v>
          </cell>
          <cell r="T4">
            <v>46259</v>
          </cell>
          <cell r="U4">
            <v>46248</v>
          </cell>
        </row>
        <row r="5">
          <cell r="A5">
            <v>38529</v>
          </cell>
          <cell r="B5" t="str">
            <v>Correctivo</v>
          </cell>
          <cell r="C5" t="str">
            <v>MNZA</v>
          </cell>
          <cell r="D5" t="str">
            <v>Liberada</v>
          </cell>
          <cell r="E5" t="str">
            <v>No</v>
          </cell>
          <cell r="F5">
            <v>46236</v>
          </cell>
          <cell r="G5" t="str">
            <v>O</v>
          </cell>
          <cell r="H5" t="str">
            <v>LTS288</v>
          </cell>
          <cell r="I5" t="str">
            <v>ATEGO 1725</v>
          </cell>
          <cell r="J5" t="str">
            <v>Colocar inyectores y bomba inyectora</v>
          </cell>
          <cell r="K5" t="str">
            <v>Ok Contabilizar Si Corresponde</v>
          </cell>
          <cell r="L5"/>
          <cell r="M5" t="str">
            <v>Terminada</v>
          </cell>
          <cell r="N5" t="str">
            <v>1) Orden sin repuestos asignados</v>
          </cell>
          <cell r="O5" t="str">
            <v>Ningún material cargado en la orden</v>
          </cell>
          <cell r="T5">
            <v>46259</v>
          </cell>
          <cell r="U5">
            <v>46254</v>
          </cell>
        </row>
        <row r="6">
          <cell r="A6">
            <v>38534</v>
          </cell>
          <cell r="B6" t="str">
            <v>Correctivo</v>
          </cell>
          <cell r="C6" t="str">
            <v>SRAF</v>
          </cell>
          <cell r="D6" t="str">
            <v>Liberada</v>
          </cell>
          <cell r="E6" t="str">
            <v>No</v>
          </cell>
          <cell r="F6">
            <v>46238</v>
          </cell>
          <cell r="G6" t="str">
            <v>O</v>
          </cell>
          <cell r="H6" t="str">
            <v>MQU466</v>
          </cell>
          <cell r="I6" t="str">
            <v>SCANIA P360 A6X2</v>
          </cell>
          <cell r="J6" t="str">
            <v>Cambiar junta de compresor de aire</v>
          </cell>
          <cell r="K6" t="str">
            <v>Falta Material</v>
          </cell>
          <cell r="L6"/>
          <cell r="M6" t="str">
            <v>Terminada</v>
          </cell>
          <cell r="N6" t="str">
            <v>1) Orden sin repuestos asignados</v>
          </cell>
          <cell r="O6" t="str">
            <v>Ningún material cargado en la orden</v>
          </cell>
          <cell r="T6">
            <v>46259</v>
          </cell>
          <cell r="U6">
            <v>46248</v>
          </cell>
        </row>
        <row r="7">
          <cell r="A7" t="str">
            <v>38600</v>
          </cell>
          <cell r="B7" t="str">
            <v>Correctivo</v>
          </cell>
          <cell r="C7" t="str">
            <v>CIUD</v>
          </cell>
          <cell r="D7" t="str">
            <v>Liberada</v>
          </cell>
          <cell r="E7" t="str">
            <v>No</v>
          </cell>
          <cell r="F7">
            <v>46240</v>
          </cell>
          <cell r="G7" t="str">
            <v>O</v>
          </cell>
          <cell r="H7" t="str">
            <v>AF461DB</v>
          </cell>
          <cell r="I7" t="str">
            <v>PALETERO S.PA.3E.71 2+1</v>
          </cell>
          <cell r="J7" t="str">
            <v>Múltiples repuestos</v>
          </cell>
          <cell r="K7" t="str">
            <v>Ok Contabilizar Si Corresponde</v>
          </cell>
          <cell r="L7"/>
          <cell r="M7" t="str">
            <v>Revisión</v>
          </cell>
          <cell r="N7" t="str">
            <v>5) Materiales Repetidos</v>
          </cell>
          <cell r="O7" t="str">
            <v>Se cargó el mismo repuesto varias veces en la orden: 'REMACHE POP ALUMINIO DE 5MM DIAMETRO X 20MM LARGO' (2 veces). Revisar posibles duplicados.</v>
          </cell>
          <cell r="T7">
            <v>46259</v>
          </cell>
          <cell r="U7">
            <v>46248</v>
          </cell>
        </row>
        <row r="8">
          <cell r="A8" t="str">
            <v>38600</v>
          </cell>
          <cell r="B8" t="str">
            <v>Correctivo</v>
          </cell>
          <cell r="C8" t="str">
            <v>CIUD</v>
          </cell>
          <cell r="D8" t="str">
            <v>Liberada</v>
          </cell>
          <cell r="E8" t="str">
            <v>No</v>
          </cell>
          <cell r="F8">
            <v>46240</v>
          </cell>
          <cell r="G8" t="str">
            <v>O</v>
          </cell>
          <cell r="H8" t="str">
            <v>AF461DB</v>
          </cell>
          <cell r="I8" t="str">
            <v>PALETERO S.PA.3E.71 2+1</v>
          </cell>
          <cell r="J8" t="str">
            <v>Sin tarea asociada</v>
          </cell>
          <cell r="K8" t="str">
            <v>Ok Contabilizar Si Corresponde</v>
          </cell>
          <cell r="L8"/>
          <cell r="M8" t="str">
            <v>N/A</v>
          </cell>
          <cell r="N8" t="str">
            <v>4) Repuesto sin tarea (IA)</v>
          </cell>
          <cell r="O8" t="str">
            <v>Material "REMACHE POP ALUMINIO DE 5MM DIAMETRO X 20MM LARGO" (Salidas: 20) no coincide con ninguna tarea de la orden</v>
          </cell>
          <cell r="T8">
            <v>46259</v>
          </cell>
          <cell r="U8">
            <v>46248</v>
          </cell>
        </row>
        <row r="9">
          <cell r="A9" t="str">
            <v>38600</v>
          </cell>
          <cell r="B9" t="str">
            <v>Correctivo</v>
          </cell>
          <cell r="C9" t="str">
            <v>CIUD</v>
          </cell>
          <cell r="D9" t="str">
            <v>Liberada</v>
          </cell>
          <cell r="E9" t="str">
            <v>No</v>
          </cell>
          <cell r="F9">
            <v>46240</v>
          </cell>
          <cell r="G9" t="str">
            <v>O</v>
          </cell>
          <cell r="H9" t="str">
            <v>AF461DB</v>
          </cell>
          <cell r="I9" t="str">
            <v>PALETERO S.PA.3E.71 2+1</v>
          </cell>
          <cell r="J9" t="str">
            <v>Sin tarea asociada</v>
          </cell>
          <cell r="K9" t="str">
            <v>Ok Contabilizar Si Corresponde</v>
          </cell>
          <cell r="L9"/>
          <cell r="M9" t="str">
            <v>N/A</v>
          </cell>
          <cell r="N9" t="str">
            <v>4) Repuesto sin tarea (IA)</v>
          </cell>
          <cell r="O9" t="str">
            <v>Material "REMACHE POP ALUMINIO DE 5MM DIAMETRO X 20MM LARGO" (Salidas: 5) no coincide con ninguna tarea de la orden</v>
          </cell>
          <cell r="T9">
            <v>46259</v>
          </cell>
          <cell r="U9">
            <v>46248</v>
          </cell>
        </row>
        <row r="10">
          <cell r="A10">
            <v>38936</v>
          </cell>
          <cell r="B10" t="str">
            <v>Correctivo</v>
          </cell>
          <cell r="C10" t="str">
            <v>CIUD</v>
          </cell>
          <cell r="D10" t="str">
            <v>Liberada</v>
          </cell>
          <cell r="E10" t="str">
            <v>No</v>
          </cell>
          <cell r="F10">
            <v>46240</v>
          </cell>
          <cell r="G10" t="str">
            <v>O</v>
          </cell>
          <cell r="H10" t="str">
            <v>AD426IJ</v>
          </cell>
          <cell r="I10" t="str">
            <v>AXOR 2541</v>
          </cell>
          <cell r="J10" t="str">
            <v>Engraso Plato</v>
          </cell>
          <cell r="K10" t="str">
            <v>Falta Consumo</v>
          </cell>
          <cell r="L10"/>
          <cell r="M10" t="str">
            <v>Terminada</v>
          </cell>
          <cell r="N10" t="str">
            <v>3) Planificado sin Salida física (Salidas = 0)</v>
          </cell>
          <cell r="O10" t="str">
            <v>Material de lubricante planificado con Salida Cero: GRASA 62 X 20 KG</v>
          </cell>
          <cell r="T10">
            <v>46259</v>
          </cell>
          <cell r="U10">
            <v>46248</v>
          </cell>
        </row>
        <row r="11">
          <cell r="A11" t="str">
            <v>38974</v>
          </cell>
          <cell r="B11" t="str">
            <v>Correctivo</v>
          </cell>
          <cell r="C11" t="str">
            <v>MNZA</v>
          </cell>
          <cell r="D11" t="str">
            <v>Liberada</v>
          </cell>
          <cell r="E11" t="str">
            <v>No</v>
          </cell>
          <cell r="F11">
            <v>46243</v>
          </cell>
          <cell r="G11" t="str">
            <v>O</v>
          </cell>
          <cell r="H11" t="str">
            <v>HRJ003</v>
          </cell>
          <cell r="I11" t="str">
            <v>1318</v>
          </cell>
          <cell r="J11" t="str">
            <v>Sin tarea asociada</v>
          </cell>
          <cell r="K11" t="str">
            <v>Ok</v>
          </cell>
          <cell r="L11"/>
          <cell r="M11" t="str">
            <v>N/A</v>
          </cell>
          <cell r="N11" t="str">
            <v>4) Repuesto sin tarea (IA)</v>
          </cell>
          <cell r="O11" t="str">
            <v>Material "SILOC FORMADOR DE JUNTA 8600 X 98GR" (Salidas: 1) no coincide con ninguna tarea de la orden</v>
          </cell>
          <cell r="T11">
            <v>46259</v>
          </cell>
          <cell r="U11">
            <v>46248</v>
          </cell>
        </row>
        <row r="12">
          <cell r="A12">
            <v>38989</v>
          </cell>
          <cell r="B12" t="str">
            <v>Auxilios</v>
          </cell>
          <cell r="C12" t="str">
            <v>SRAF</v>
          </cell>
          <cell r="D12" t="str">
            <v>Liberada</v>
          </cell>
          <cell r="E12" t="str">
            <v>No</v>
          </cell>
          <cell r="F12">
            <v>46238</v>
          </cell>
          <cell r="G12" t="str">
            <v>O</v>
          </cell>
          <cell r="H12" t="str">
            <v>AE812EN</v>
          </cell>
          <cell r="I12" t="str">
            <v>SCANIA P410 A6X2</v>
          </cell>
          <cell r="J12" t="str">
            <v>Cambiar ruleman de rueda trasera izquierda</v>
          </cell>
          <cell r="K12" t="str">
            <v>Falta Material</v>
          </cell>
          <cell r="L12"/>
          <cell r="M12" t="str">
            <v>Terminada</v>
          </cell>
          <cell r="N12" t="str">
            <v>1) Orden sin repuestos asignados</v>
          </cell>
          <cell r="O12" t="str">
            <v>Ningún material cargado en la orden</v>
          </cell>
          <cell r="T12">
            <v>46259</v>
          </cell>
          <cell r="U12">
            <v>46248</v>
          </cell>
        </row>
        <row r="13">
          <cell r="A13" t="str">
            <v>38992</v>
          </cell>
          <cell r="B13" t="str">
            <v>Correctivo</v>
          </cell>
          <cell r="C13" t="str">
            <v>SRAF</v>
          </cell>
          <cell r="D13" t="str">
            <v>Liberada</v>
          </cell>
          <cell r="E13" t="str">
            <v>No</v>
          </cell>
          <cell r="F13">
            <v>46244</v>
          </cell>
          <cell r="G13"/>
          <cell r="H13" t="str">
            <v>INSUMOS SRF</v>
          </cell>
          <cell r="I13" t="str">
            <v>INSUMOS SAN RAFAEL</v>
          </cell>
          <cell r="J13" t="str">
            <v>Sin tarea que requiera material</v>
          </cell>
          <cell r="K13" t="str">
            <v>Ok Revisar tipo OM</v>
          </cell>
          <cell r="L13"/>
          <cell r="M13" t="str">
            <v>N/A</v>
          </cell>
          <cell r="N13" t="str">
            <v>4) Repuesto sin tarea (IA)</v>
          </cell>
          <cell r="O13" t="str">
            <v>Material "LIMPIA CONTACTOS EN AEROSOL 440 ML – CONTACMATIC BIO DELTA" (Salidas: 1) cargado pero ninguna tarea requiere material</v>
          </cell>
          <cell r="T13">
            <v>46259</v>
          </cell>
          <cell r="U13">
            <v>46252</v>
          </cell>
        </row>
        <row r="14">
          <cell r="A14" t="str">
            <v>38992</v>
          </cell>
          <cell r="B14" t="str">
            <v>Correctivo</v>
          </cell>
          <cell r="C14" t="str">
            <v>SRAF</v>
          </cell>
          <cell r="D14" t="str">
            <v>Liberada</v>
          </cell>
          <cell r="E14" t="str">
            <v>No</v>
          </cell>
          <cell r="F14">
            <v>46244</v>
          </cell>
          <cell r="G14"/>
          <cell r="H14" t="str">
            <v>INSUMOS SRF</v>
          </cell>
          <cell r="I14" t="str">
            <v>INSUMOS SAN RAFAEL</v>
          </cell>
          <cell r="J14" t="str">
            <v>Sin tarea que requiera material</v>
          </cell>
          <cell r="K14" t="str">
            <v>Ok Revisar tipo OM</v>
          </cell>
          <cell r="L14"/>
          <cell r="M14" t="str">
            <v>N/A</v>
          </cell>
          <cell r="N14" t="str">
            <v>4) Repuesto sin tarea (IA)</v>
          </cell>
          <cell r="O14" t="str">
            <v>Material "REJILLA TRAMA ANCHA - SEMI PASADA" (Salidas: 6) cargado pero ninguna tarea requiere material</v>
          </cell>
          <cell r="T14">
            <v>46259</v>
          </cell>
          <cell r="U14">
            <v>46252</v>
          </cell>
        </row>
        <row r="15">
          <cell r="A15" t="str">
            <v>38992</v>
          </cell>
          <cell r="B15" t="str">
            <v>Correctivo</v>
          </cell>
          <cell r="C15" t="str">
            <v>SRAF</v>
          </cell>
          <cell r="D15" t="str">
            <v>Liberada</v>
          </cell>
          <cell r="E15" t="str">
            <v>No</v>
          </cell>
          <cell r="F15">
            <v>46244</v>
          </cell>
          <cell r="G15"/>
          <cell r="H15" t="str">
            <v>INSUMOS SRF</v>
          </cell>
          <cell r="I15" t="str">
            <v>INSUMOS SAN RAFAEL</v>
          </cell>
          <cell r="J15" t="str">
            <v>Sin tarea que requiera material</v>
          </cell>
          <cell r="K15" t="str">
            <v>Ok Revisar tipo OM</v>
          </cell>
          <cell r="L15"/>
          <cell r="M15" t="str">
            <v>N/A</v>
          </cell>
          <cell r="N15" t="str">
            <v>4) Repuesto sin tarea (IA)</v>
          </cell>
          <cell r="O15" t="str">
            <v>Material "PINCEL DE 25MM (1")" (Salidas: 1) cargado pero ninguna tarea requiere material</v>
          </cell>
          <cell r="T15">
            <v>46259</v>
          </cell>
          <cell r="U15">
            <v>46252</v>
          </cell>
        </row>
        <row r="16">
          <cell r="A16" t="str">
            <v>38993</v>
          </cell>
          <cell r="B16" t="str">
            <v>Auxilios</v>
          </cell>
          <cell r="C16" t="str">
            <v>MNZA</v>
          </cell>
          <cell r="D16" t="str">
            <v>Liberada</v>
          </cell>
          <cell r="E16" t="str">
            <v>No</v>
          </cell>
          <cell r="F16">
            <v>46244</v>
          </cell>
          <cell r="G16" t="str">
            <v>O</v>
          </cell>
          <cell r="H16" t="str">
            <v>AB696BS</v>
          </cell>
          <cell r="I16" t="str">
            <v>ATRON 1735 45</v>
          </cell>
          <cell r="J16" t="str">
            <v>Sin tarea asociada</v>
          </cell>
          <cell r="K16" t="str">
            <v>Ok</v>
          </cell>
          <cell r="L16"/>
          <cell r="M16" t="str">
            <v>N/A</v>
          </cell>
          <cell r="N16" t="str">
            <v>4) Repuesto sin tarea (IA)</v>
          </cell>
          <cell r="O16" t="str">
            <v>Material "CAÑO POLIAMIDA TECALAN DE 10MM X MTS" (Salidas: 0.2) no coincide con ninguna tarea de la orden</v>
          </cell>
          <cell r="T16">
            <v>46259</v>
          </cell>
          <cell r="U16">
            <v>46248</v>
          </cell>
        </row>
        <row r="17">
          <cell r="A17" t="str">
            <v>39004</v>
          </cell>
          <cell r="B17" t="str">
            <v>Insumo</v>
          </cell>
          <cell r="C17" t="str">
            <v>MNZA</v>
          </cell>
          <cell r="D17" t="str">
            <v>Liberada</v>
          </cell>
          <cell r="E17" t="str">
            <v>No</v>
          </cell>
          <cell r="F17">
            <v>46244</v>
          </cell>
          <cell r="G17"/>
          <cell r="H17" t="str">
            <v>ESTRUCTURA MZ</v>
          </cell>
          <cell r="I17" t="str">
            <v>ESTRUCTURA MENDOZA</v>
          </cell>
          <cell r="J17" t="str">
            <v>Sin tarea que requiera material</v>
          </cell>
          <cell r="K17" t="str">
            <v>(Ver es estructura o Insumo)</v>
          </cell>
          <cell r="L17"/>
          <cell r="M17" t="str">
            <v>N/A</v>
          </cell>
          <cell r="N17" t="str">
            <v>4) Repuesto sin tarea (IA)</v>
          </cell>
          <cell r="O17" t="str">
            <v>Material "KIT DE REPARACION DE COMPRESOR DE AIRE (85MM) MB ATEGO 1725/1419 - PELLACANI (2003111)" (Salidas: 2) cargado pero ninguna tarea requiere material</v>
          </cell>
          <cell r="T17">
            <v>46259</v>
          </cell>
          <cell r="U17">
            <v>46248</v>
          </cell>
        </row>
        <row r="18">
          <cell r="A18" t="str">
            <v>39004</v>
          </cell>
          <cell r="B18" t="str">
            <v>Insumo</v>
          </cell>
          <cell r="C18" t="str">
            <v>MNZA</v>
          </cell>
          <cell r="D18" t="str">
            <v>Liberada</v>
          </cell>
          <cell r="E18" t="str">
            <v>No</v>
          </cell>
          <cell r="F18">
            <v>46244</v>
          </cell>
          <cell r="G18"/>
          <cell r="H18" t="str">
            <v>ESTRUCTURA MZ</v>
          </cell>
          <cell r="I18" t="str">
            <v>ESTRUCTURA MENDOZA</v>
          </cell>
          <cell r="J18" t="str">
            <v>Sin tarea que requiera material</v>
          </cell>
          <cell r="K18" t="str">
            <v>(Ver es estructura o Insumo)</v>
          </cell>
          <cell r="L18"/>
          <cell r="M18" t="str">
            <v>N/A</v>
          </cell>
          <cell r="N18" t="str">
            <v>4) Repuesto sin tarea (IA)</v>
          </cell>
          <cell r="O18" t="str">
            <v>Material "THINNER X 18LT" (Salidas: 14) cargado pero ninguna tarea requiere material</v>
          </cell>
          <cell r="T18">
            <v>46259</v>
          </cell>
          <cell r="U18">
            <v>46248</v>
          </cell>
        </row>
        <row r="19">
          <cell r="A19">
            <v>39010</v>
          </cell>
          <cell r="B19" t="str">
            <v>Correctivo</v>
          </cell>
          <cell r="C19" t="str">
            <v>SRAF</v>
          </cell>
          <cell r="D19" t="str">
            <v>Liberada</v>
          </cell>
          <cell r="E19" t="str">
            <v>No</v>
          </cell>
          <cell r="F19">
            <v>46244</v>
          </cell>
          <cell r="G19" t="str">
            <v>O</v>
          </cell>
          <cell r="H19" t="str">
            <v>IBB073</v>
          </cell>
          <cell r="I19" t="str">
            <v>S PA 3E 71</v>
          </cell>
          <cell r="J19" t="str">
            <v>Engrase Completo</v>
          </cell>
          <cell r="K19" t="str">
            <v>Falta Material</v>
          </cell>
          <cell r="L19"/>
          <cell r="M19" t="str">
            <v>No iniciada</v>
          </cell>
          <cell r="N19" t="str">
            <v>1) Orden sin repuestos asignados</v>
          </cell>
          <cell r="O19" t="str">
            <v>Ningún material cargado en la orden</v>
          </cell>
          <cell r="T19">
            <v>46259</v>
          </cell>
          <cell r="U19">
            <v>46248</v>
          </cell>
        </row>
        <row r="20">
          <cell r="A20">
            <v>39113</v>
          </cell>
          <cell r="B20" t="str">
            <v>Correctivo</v>
          </cell>
          <cell r="C20" t="str">
            <v>CIUD</v>
          </cell>
          <cell r="D20" t="str">
            <v>Liberada</v>
          </cell>
          <cell r="E20" t="str">
            <v>No</v>
          </cell>
          <cell r="F20">
            <v>46241</v>
          </cell>
          <cell r="G20" t="str">
            <v>O</v>
          </cell>
          <cell r="H20" t="str">
            <v>AD426HX</v>
          </cell>
          <cell r="I20" t="str">
            <v>AXOR 2541</v>
          </cell>
          <cell r="J20" t="str">
            <v>Cambiar comando levanta vidrio</v>
          </cell>
          <cell r="K20" t="str">
            <v>Falta Consumo</v>
          </cell>
          <cell r="L20"/>
          <cell r="M20" t="str">
            <v>Terminada</v>
          </cell>
          <cell r="N20" t="str">
            <v>3) Planificado sin Salida física (Salidas = 0)</v>
          </cell>
          <cell r="O20" t="str">
            <v>Materiales planificados con Salida Cero: COMANDO ALZA CRISTALES MB AXOR (A 005 545 39 13) ORIGINAL</v>
          </cell>
          <cell r="T20">
            <v>46259</v>
          </cell>
          <cell r="U20">
            <v>46248</v>
          </cell>
        </row>
        <row r="21">
          <cell r="A21">
            <v>39128</v>
          </cell>
          <cell r="B21" t="str">
            <v>Correctivo</v>
          </cell>
          <cell r="C21" t="str">
            <v>CIUD</v>
          </cell>
          <cell r="D21" t="str">
            <v>Liberada</v>
          </cell>
          <cell r="E21" t="str">
            <v>No</v>
          </cell>
          <cell r="F21">
            <v>46243</v>
          </cell>
          <cell r="G21" t="str">
            <v>O</v>
          </cell>
          <cell r="H21" t="str">
            <v>AF066NS</v>
          </cell>
          <cell r="I21" t="str">
            <v>TECTOR EVO 170E28</v>
          </cell>
          <cell r="J21" t="str">
            <v>Cambiar Rueda Completa C/Llanta Delantera Der</v>
          </cell>
          <cell r="K21" t="str">
            <v>Falta Consumo</v>
          </cell>
          <cell r="L21"/>
          <cell r="M21" t="str">
            <v>Terminada</v>
          </cell>
          <cell r="N21" t="str">
            <v>3) Planificado sin Salida física (Salidas = 0)</v>
          </cell>
          <cell r="O21" t="str">
            <v>Materiales planificados con Salida Cero: CUBIERTA LINEAL 275 R22.5 - FATE</v>
          </cell>
          <cell r="T21">
            <v>46259</v>
          </cell>
          <cell r="U21">
            <v>46248</v>
          </cell>
        </row>
        <row r="22">
          <cell r="A22">
            <v>39151</v>
          </cell>
          <cell r="B22" t="str">
            <v>Correctivo</v>
          </cell>
          <cell r="C22" t="str">
            <v>CIUD</v>
          </cell>
          <cell r="D22" t="str">
            <v>Liberada</v>
          </cell>
          <cell r="E22" t="str">
            <v>No</v>
          </cell>
          <cell r="F22">
            <v>46244</v>
          </cell>
          <cell r="G22" t="str">
            <v>O</v>
          </cell>
          <cell r="H22" t="str">
            <v>AD426IJ</v>
          </cell>
          <cell r="I22" t="str">
            <v>AXOR 2541</v>
          </cell>
          <cell r="J22" t="str">
            <v>Cambiar lampara h3 24v</v>
          </cell>
          <cell r="K22" t="str">
            <v>Falta Consumo</v>
          </cell>
          <cell r="L22"/>
          <cell r="M22" t="str">
            <v>Terminada</v>
          </cell>
          <cell r="N22" t="str">
            <v>3) Planificado sin Salida física (Salidas = 0)</v>
          </cell>
          <cell r="O22" t="str">
            <v>Materiales planificados con Salida Cero: LAMPARA H3 24V</v>
          </cell>
          <cell r="T22">
            <v>46259</v>
          </cell>
          <cell r="U22">
            <v>46248</v>
          </cell>
        </row>
        <row r="23">
          <cell r="A23" t="str">
            <v>39265</v>
          </cell>
          <cell r="B23" t="str">
            <v>Correctivo</v>
          </cell>
          <cell r="C23" t="str">
            <v>CIUD</v>
          </cell>
          <cell r="D23" t="str">
            <v>Cerrada</v>
          </cell>
          <cell r="E23" t="str">
            <v>No</v>
          </cell>
          <cell r="F23">
            <v>46247</v>
          </cell>
          <cell r="G23" t="str">
            <v>O</v>
          </cell>
          <cell r="H23" t="str">
            <v>AD426HZ</v>
          </cell>
          <cell r="I23" t="str">
            <v>AXOR 2541</v>
          </cell>
          <cell r="J23" t="str">
            <v>Sin tarea asociada</v>
          </cell>
          <cell r="K23" t="str">
            <v>Ok Contabilizar Si Corresponde</v>
          </cell>
          <cell r="L23"/>
          <cell r="M23" t="str">
            <v>N/A</v>
          </cell>
          <cell r="N23" t="str">
            <v>4) Repuesto sin tarea (IA)</v>
          </cell>
          <cell r="O23" t="str">
            <v>Material "PARCHES DE GOMAS RAC 10" (Salidas: 1) no coincide con ninguna tarea de la orden</v>
          </cell>
          <cell r="T23">
            <v>46259</v>
          </cell>
          <cell r="U23">
            <v>46259</v>
          </cell>
        </row>
        <row r="24">
          <cell r="A24" t="str">
            <v>39323</v>
          </cell>
          <cell r="B24" t="str">
            <v>Correctivo</v>
          </cell>
          <cell r="C24" t="str">
            <v>MNZA</v>
          </cell>
          <cell r="D24" t="str">
            <v>Liberada</v>
          </cell>
          <cell r="E24" t="str">
            <v>No</v>
          </cell>
          <cell r="F24">
            <v>46246</v>
          </cell>
          <cell r="G24" t="str">
            <v>O</v>
          </cell>
          <cell r="H24" t="str">
            <v>IDX164</v>
          </cell>
          <cell r="I24" t="str">
            <v>AXOR 1933</v>
          </cell>
          <cell r="J24" t="str">
            <v>Sin tarea asociada</v>
          </cell>
          <cell r="K24" t="str">
            <v>Ok Contabilizar Si Corresponde</v>
          </cell>
          <cell r="L24"/>
          <cell r="M24" t="str">
            <v>N/A</v>
          </cell>
          <cell r="N24" t="str">
            <v>4) Repuesto sin tarea (IA)</v>
          </cell>
          <cell r="O24" t="str">
            <v>Material "CAÑO POLIAMIDA TECALAN DE 6MM X MTS" (Salidas: 2) no coincide con ninguna tarea de la orden</v>
          </cell>
          <cell r="T24">
            <v>46259</v>
          </cell>
          <cell r="U24">
            <v>46259</v>
          </cell>
        </row>
        <row r="25">
          <cell r="A25">
            <v>39325</v>
          </cell>
          <cell r="B25" t="str">
            <v>Correctivo</v>
          </cell>
          <cell r="C25" t="str">
            <v>MNZA</v>
          </cell>
          <cell r="D25" t="str">
            <v>Liberada</v>
          </cell>
          <cell r="E25" t="str">
            <v>No</v>
          </cell>
          <cell r="F25">
            <v>46246</v>
          </cell>
          <cell r="G25" t="str">
            <v>O</v>
          </cell>
          <cell r="H25" t="str">
            <v>KGM735</v>
          </cell>
          <cell r="I25" t="str">
            <v>ATEGO 1725</v>
          </cell>
          <cell r="J25" t="str">
            <v>Cambiar lampara h7 24v</v>
          </cell>
          <cell r="K25" t="str">
            <v>Falta Consumo</v>
          </cell>
          <cell r="L25"/>
          <cell r="M25" t="str">
            <v>No iniciada</v>
          </cell>
          <cell r="N25" t="str">
            <v>3) Planificado sin Salida física (Salidas = 0)</v>
          </cell>
          <cell r="O25" t="str">
            <v>Materiales planificados con Salida Cero: LAMPARA H7 24V - PHILLIPS</v>
          </cell>
          <cell r="T25">
            <v>46259</v>
          </cell>
          <cell r="U25">
            <v>46253</v>
          </cell>
        </row>
        <row r="26">
          <cell r="A26">
            <v>39334</v>
          </cell>
          <cell r="B26" t="str">
            <v>Correctivo</v>
          </cell>
          <cell r="C26" t="str">
            <v>CIUD</v>
          </cell>
          <cell r="D26" t="str">
            <v>Liberada</v>
          </cell>
          <cell r="E26" t="str">
            <v>No</v>
          </cell>
          <cell r="F26">
            <v>46251</v>
          </cell>
          <cell r="G26" t="str">
            <v>O</v>
          </cell>
          <cell r="H26" t="str">
            <v>AF746ED</v>
          </cell>
          <cell r="I26" t="str">
            <v>TECTOR EVO 170E28</v>
          </cell>
          <cell r="J26" t="str">
            <v>Engrase tractor completo</v>
          </cell>
          <cell r="K26" t="str">
            <v>Falta Consumo</v>
          </cell>
          <cell r="L26"/>
          <cell r="M26" t="str">
            <v>Terminada</v>
          </cell>
          <cell r="N26" t="str">
            <v>3) Planificado sin Salida física (Salidas = 0)</v>
          </cell>
          <cell r="O26" t="str">
            <v>Material de lubricante planificado con Salida Cero: BALDE GRASA LUBRIGON X 20 KG</v>
          </cell>
          <cell r="T26">
            <v>46259</v>
          </cell>
          <cell r="U26">
            <v>46253</v>
          </cell>
        </row>
        <row r="27">
          <cell r="A27">
            <v>39377</v>
          </cell>
          <cell r="B27" t="str">
            <v>Correctivo</v>
          </cell>
          <cell r="C27" t="str">
            <v>CIUD</v>
          </cell>
          <cell r="D27" t="str">
            <v>Liberada</v>
          </cell>
          <cell r="E27" t="str">
            <v>No</v>
          </cell>
          <cell r="F27">
            <v>46245</v>
          </cell>
          <cell r="G27" t="str">
            <v>O</v>
          </cell>
          <cell r="H27" t="str">
            <v>OHH596</v>
          </cell>
          <cell r="I27" t="str">
            <v>ATRON 1720</v>
          </cell>
          <cell r="J27" t="str">
            <v>Cambio Fusible</v>
          </cell>
          <cell r="K27" t="str">
            <v>Falta Consumo</v>
          </cell>
          <cell r="L27"/>
          <cell r="M27" t="str">
            <v>Terminada</v>
          </cell>
          <cell r="N27" t="str">
            <v>3) Planificado sin Salida física (Salidas = 0)</v>
          </cell>
          <cell r="O27" t="str">
            <v>Materiales planificados con Salida Cero: FUSIBLE 10 AMP - GENROD</v>
          </cell>
          <cell r="T27">
            <v>46259</v>
          </cell>
          <cell r="U27">
            <v>46254</v>
          </cell>
        </row>
        <row r="28">
          <cell r="A28">
            <v>39519</v>
          </cell>
          <cell r="B28" t="str">
            <v>Correctivo</v>
          </cell>
          <cell r="C28" t="str">
            <v>CIUD</v>
          </cell>
          <cell r="D28" t="str">
            <v>Liberada</v>
          </cell>
          <cell r="E28" t="str">
            <v>No</v>
          </cell>
          <cell r="F28">
            <v>46252</v>
          </cell>
          <cell r="G28" t="str">
            <v>O</v>
          </cell>
          <cell r="H28" t="str">
            <v>AF737MP</v>
          </cell>
          <cell r="I28" t="str">
            <v>ATEGO 1721</v>
          </cell>
          <cell r="J28" t="str">
            <v>Engrase tractor completo</v>
          </cell>
          <cell r="K28" t="str">
            <v>Falta Consumo</v>
          </cell>
          <cell r="L28"/>
          <cell r="M28" t="str">
            <v>Terminada</v>
          </cell>
          <cell r="N28" t="str">
            <v>3) Planificado sin Salida física (Salidas = 0)</v>
          </cell>
          <cell r="O28" t="str">
            <v>Material de lubricante planificado con Salida Cero: GRASA 62 X 20 KG</v>
          </cell>
          <cell r="T28">
            <v>46259</v>
          </cell>
          <cell r="U28">
            <v>46254</v>
          </cell>
        </row>
        <row r="29">
          <cell r="A29" t="str">
            <v>39569</v>
          </cell>
          <cell r="B29" t="str">
            <v>Correctivo</v>
          </cell>
          <cell r="C29" t="str">
            <v>CIUD</v>
          </cell>
          <cell r="D29" t="str">
            <v>Liberada</v>
          </cell>
          <cell r="E29" t="str">
            <v>No</v>
          </cell>
          <cell r="F29">
            <v>46253</v>
          </cell>
          <cell r="G29" t="str">
            <v>O</v>
          </cell>
          <cell r="H29" t="str">
            <v>OJG101</v>
          </cell>
          <cell r="I29" t="str">
            <v>ATEGO 1725</v>
          </cell>
          <cell r="J29" t="str">
            <v>Múltiples repuestos</v>
          </cell>
          <cell r="K29" t="str">
            <v>Ok Completo</v>
          </cell>
          <cell r="L29"/>
          <cell r="M29" t="str">
            <v>Revisión</v>
          </cell>
          <cell r="N29" t="str">
            <v>5) Materiales Repetidos</v>
          </cell>
          <cell r="O29" t="str">
            <v>Se cargó el mismo repuesto varias veces en la orden: 'LIQUIDO REFRIGERANTE KRIOX INORGANICO X 1000LTS' (2 veces). Revisar posibles duplicados.</v>
          </cell>
          <cell r="T29">
            <v>46259</v>
          </cell>
          <cell r="U29">
            <v>46258</v>
          </cell>
        </row>
        <row r="30">
          <cell r="A30" t="str">
            <v>39569</v>
          </cell>
          <cell r="B30" t="str">
            <v>Correctivo</v>
          </cell>
          <cell r="C30" t="str">
            <v>CIUD</v>
          </cell>
          <cell r="D30" t="str">
            <v>Liberada</v>
          </cell>
          <cell r="E30" t="str">
            <v>No</v>
          </cell>
          <cell r="F30">
            <v>46253</v>
          </cell>
          <cell r="G30" t="str">
            <v>O</v>
          </cell>
          <cell r="H30" t="str">
            <v>OJG101</v>
          </cell>
          <cell r="I30" t="str">
            <v>ATEGO 1725</v>
          </cell>
          <cell r="J30" t="str">
            <v>Sin tarea asociada</v>
          </cell>
          <cell r="K30" t="str">
            <v>Ok Completo</v>
          </cell>
          <cell r="L30"/>
          <cell r="M30" t="str">
            <v>N/A</v>
          </cell>
          <cell r="N30" t="str">
            <v>4) Repuesto sin tarea (IA)</v>
          </cell>
          <cell r="O30" t="str">
            <v>Material "DEPOSITO DE AGUA MB ATEGO (A 970 500 04 49) - RESERPLASTIC (000899)" (Salidas: 1) no coincide con ninguna tarea de la orden</v>
          </cell>
          <cell r="T30">
            <v>46259</v>
          </cell>
          <cell r="U30">
            <v>46258</v>
          </cell>
        </row>
        <row r="31">
          <cell r="A31">
            <v>39574</v>
          </cell>
          <cell r="B31" t="str">
            <v>Correctivo</v>
          </cell>
          <cell r="C31" t="str">
            <v>CIUD</v>
          </cell>
          <cell r="D31" t="str">
            <v>Liberada</v>
          </cell>
          <cell r="E31" t="str">
            <v>No</v>
          </cell>
          <cell r="F31">
            <v>46254</v>
          </cell>
          <cell r="G31" t="str">
            <v>O</v>
          </cell>
          <cell r="H31" t="str">
            <v>GOR390</v>
          </cell>
          <cell r="I31" t="str">
            <v>1624</v>
          </cell>
          <cell r="J31" t="str">
            <v>Engrase Completo</v>
          </cell>
          <cell r="K31" t="str">
            <v>Falta Material (C000315)</v>
          </cell>
          <cell r="L31"/>
          <cell r="M31" t="str">
            <v>Terminada</v>
          </cell>
          <cell r="N31" t="str">
            <v>2) Falta material (IA)</v>
          </cell>
          <cell r="O31" t="str">
            <v>Tarea de lubricación sin material de grasa, aceite o refrigerante en la orden</v>
          </cell>
          <cell r="T31">
            <v>46259</v>
          </cell>
          <cell r="U31">
            <v>46258</v>
          </cell>
        </row>
        <row r="32">
          <cell r="A32">
            <v>39587</v>
          </cell>
          <cell r="B32" t="str">
            <v>Correctivo</v>
          </cell>
          <cell r="C32" t="str">
            <v>CIUD</v>
          </cell>
          <cell r="D32" t="str">
            <v>Cerrada</v>
          </cell>
          <cell r="E32" t="str">
            <v>No</v>
          </cell>
          <cell r="F32">
            <v>46254</v>
          </cell>
          <cell r="G32" t="str">
            <v>O</v>
          </cell>
          <cell r="H32" t="str">
            <v>NIE154</v>
          </cell>
          <cell r="I32" t="str">
            <v>ATRON 1720</v>
          </cell>
          <cell r="J32" t="str">
            <v>Reparo Instalacion De Luz De Caja Int</v>
          </cell>
          <cell r="K32" t="str">
            <v>Ok Contabilizar Si Corresponde</v>
          </cell>
          <cell r="L32"/>
          <cell r="M32" t="str">
            <v>Terminada</v>
          </cell>
          <cell r="N32" t="str">
            <v>1) Orden sin repuestos asignados</v>
          </cell>
          <cell r="O32" t="str">
            <v>Ningún material cargado en la orden</v>
          </cell>
          <cell r="T32">
            <v>46259</v>
          </cell>
          <cell r="U32">
            <v>46258</v>
          </cell>
        </row>
        <row r="33">
          <cell r="A33">
            <v>39588</v>
          </cell>
          <cell r="B33" t="str">
            <v>Correctivo</v>
          </cell>
          <cell r="C33" t="str">
            <v>CIUD</v>
          </cell>
          <cell r="D33" t="str">
            <v>Cerrada</v>
          </cell>
          <cell r="E33" t="str">
            <v>No</v>
          </cell>
          <cell r="F33">
            <v>46254</v>
          </cell>
          <cell r="G33" t="str">
            <v>O</v>
          </cell>
          <cell r="H33" t="str">
            <v>KMM904</v>
          </cell>
          <cell r="I33" t="str">
            <v>ATRON 1720</v>
          </cell>
          <cell r="J33" t="str">
            <v>Reparo Instalacion Electrica De Fusilera</v>
          </cell>
          <cell r="K33" t="str">
            <v>Ok Contabilizar Si Corresponde</v>
          </cell>
          <cell r="L33"/>
          <cell r="M33" t="str">
            <v>Terminada</v>
          </cell>
          <cell r="N33" t="str">
            <v>1) Orden sin repuestos asignados</v>
          </cell>
          <cell r="O33" t="str">
            <v>Ningún material cargado en la orden</v>
          </cell>
          <cell r="T33">
            <v>46259</v>
          </cell>
          <cell r="U33">
            <v>46258</v>
          </cell>
        </row>
        <row r="34">
          <cell r="A34">
            <v>39588</v>
          </cell>
          <cell r="B34" t="str">
            <v>Correctivo</v>
          </cell>
          <cell r="C34" t="str">
            <v>CIUD</v>
          </cell>
          <cell r="D34" t="str">
            <v>Cerrada</v>
          </cell>
          <cell r="E34" t="str">
            <v>No</v>
          </cell>
          <cell r="F34">
            <v>46254</v>
          </cell>
          <cell r="G34" t="str">
            <v>O</v>
          </cell>
          <cell r="H34" t="str">
            <v>KMM904</v>
          </cell>
          <cell r="I34" t="str">
            <v>ATRON 1720</v>
          </cell>
          <cell r="J34" t="str">
            <v>Reparo Instalacion De Luz De Caja Int</v>
          </cell>
          <cell r="K34" t="str">
            <v>Ok Contabilizar Si Corresponde</v>
          </cell>
          <cell r="L34"/>
          <cell r="M34" t="str">
            <v>Terminada</v>
          </cell>
          <cell r="N34" t="str">
            <v>1) Orden sin repuestos asignados</v>
          </cell>
          <cell r="O34" t="str">
            <v>Ningún material cargado en la orden</v>
          </cell>
          <cell r="T34">
            <v>46259</v>
          </cell>
          <cell r="U34">
            <v>46258</v>
          </cell>
        </row>
        <row r="35">
          <cell r="A35">
            <v>39589</v>
          </cell>
          <cell r="B35" t="str">
            <v>Correctivo</v>
          </cell>
          <cell r="C35" t="str">
            <v>CIUD</v>
          </cell>
          <cell r="D35" t="str">
            <v>Cerrada</v>
          </cell>
          <cell r="E35" t="str">
            <v>No</v>
          </cell>
          <cell r="F35">
            <v>46254</v>
          </cell>
          <cell r="G35" t="str">
            <v>O</v>
          </cell>
          <cell r="H35" t="str">
            <v>NIE152</v>
          </cell>
          <cell r="I35" t="str">
            <v>ATRON 1720</v>
          </cell>
          <cell r="J35" t="str">
            <v>Reparo Instalacion De Luz De Caja Int</v>
          </cell>
          <cell r="K35" t="str">
            <v>Ok Contabilizar Si Corresponde</v>
          </cell>
          <cell r="L35"/>
          <cell r="M35" t="str">
            <v>Terminada</v>
          </cell>
          <cell r="N35" t="str">
            <v>1) Orden sin repuestos asignados</v>
          </cell>
          <cell r="O35" t="str">
            <v>Ningún material cargado en la orden</v>
          </cell>
          <cell r="T35">
            <v>46259</v>
          </cell>
          <cell r="U35">
            <v>46258</v>
          </cell>
        </row>
        <row r="36">
          <cell r="A36" t="str">
            <v>39590</v>
          </cell>
          <cell r="B36" t="str">
            <v>Correctivo</v>
          </cell>
          <cell r="C36" t="str">
            <v>CIUD</v>
          </cell>
          <cell r="D36" t="str">
            <v>Liberada</v>
          </cell>
          <cell r="E36" t="str">
            <v>No</v>
          </cell>
          <cell r="F36">
            <v>46254</v>
          </cell>
          <cell r="G36" t="str">
            <v>O</v>
          </cell>
          <cell r="H36" t="str">
            <v>KPQ392</v>
          </cell>
          <cell r="I36" t="str">
            <v>ATEGO 1418</v>
          </cell>
          <cell r="J36" t="str">
            <v>Sin tarea asociada</v>
          </cell>
          <cell r="K36" t="str">
            <v>Ok Contabilizar Si Corresponde</v>
          </cell>
          <cell r="L36"/>
          <cell r="M36" t="str">
            <v>N/A</v>
          </cell>
          <cell r="N36" t="str">
            <v>4) Repuesto sin tarea (IA)</v>
          </cell>
          <cell r="O36" t="str">
            <v>Material "HIDRO ATF B 20 (125480)" (Salidas: 0.1) no coincide con ninguna tarea de la orden</v>
          </cell>
          <cell r="T36">
            <v>46259</v>
          </cell>
          <cell r="U36">
            <v>46258</v>
          </cell>
        </row>
        <row r="37">
          <cell r="A37" t="str">
            <v>39591</v>
          </cell>
          <cell r="B37" t="str">
            <v>Correctivo</v>
          </cell>
          <cell r="C37" t="str">
            <v>CIUD</v>
          </cell>
          <cell r="D37" t="str">
            <v>Cerrada</v>
          </cell>
          <cell r="E37" t="str">
            <v>No</v>
          </cell>
          <cell r="F37">
            <v>46254</v>
          </cell>
          <cell r="G37" t="str">
            <v>O</v>
          </cell>
          <cell r="H37" t="str">
            <v>KMM903</v>
          </cell>
          <cell r="I37" t="str">
            <v>ATRON 1720</v>
          </cell>
          <cell r="J37" t="str">
            <v>Sin tarea que requiera material</v>
          </cell>
          <cell r="K37" t="str">
            <v>Ok Contabilizar Si Corresponde</v>
          </cell>
          <cell r="L37"/>
          <cell r="M37" t="str">
            <v>N/A</v>
          </cell>
          <cell r="N37" t="str">
            <v>4) Repuesto sin tarea (IA)</v>
          </cell>
          <cell r="O37" t="str">
            <v>Material "LIQUIDO REFRIGERANTE KRIOX INORGANICO X 1000LTS" (Salidas: 1) cargado pero ninguna tarea requiere material</v>
          </cell>
          <cell r="T37">
            <v>46259</v>
          </cell>
          <cell r="U37">
            <v>46258</v>
          </cell>
        </row>
        <row r="38">
          <cell r="A38" t="str">
            <v>39593</v>
          </cell>
          <cell r="B38" t="str">
            <v>Correctivo</v>
          </cell>
          <cell r="C38" t="str">
            <v>CIUD</v>
          </cell>
          <cell r="D38" t="str">
            <v>Liberada</v>
          </cell>
          <cell r="E38" t="str">
            <v>No</v>
          </cell>
          <cell r="F38">
            <v>46254</v>
          </cell>
          <cell r="G38" t="str">
            <v>O</v>
          </cell>
          <cell r="H38" t="str">
            <v>AG390QD</v>
          </cell>
          <cell r="I38" t="str">
            <v>ACCELO 1016</v>
          </cell>
          <cell r="J38" t="str">
            <v>Sin tarea asociada</v>
          </cell>
          <cell r="K38" t="str">
            <v>Mal la Descripción, cambiar</v>
          </cell>
          <cell r="L38"/>
          <cell r="M38" t="str">
            <v>N/A</v>
          </cell>
          <cell r="N38" t="str">
            <v>4) Repuesto sin tarea (IA)</v>
          </cell>
          <cell r="O38" t="str">
            <v>Material "FARO LED BAIML 1035 COLOR AMBAR" (Salidas: 1) no coincide con ninguna tarea de la orden</v>
          </cell>
          <cell r="T38">
            <v>46259</v>
          </cell>
          <cell r="U38">
            <v>46258</v>
          </cell>
        </row>
        <row r="39">
          <cell r="A39" t="str">
            <v>39604</v>
          </cell>
          <cell r="B39" t="str">
            <v>Correctivo</v>
          </cell>
          <cell r="C39" t="str">
            <v>CIUD</v>
          </cell>
          <cell r="D39" t="str">
            <v>Cerrada</v>
          </cell>
          <cell r="E39" t="str">
            <v>No</v>
          </cell>
          <cell r="F39">
            <v>46255</v>
          </cell>
          <cell r="G39" t="str">
            <v>O</v>
          </cell>
          <cell r="H39" t="str">
            <v>KLY952</v>
          </cell>
          <cell r="I39" t="str">
            <v>ATEGO 1418</v>
          </cell>
          <cell r="J39" t="str">
            <v>Sin tarea asociada</v>
          </cell>
          <cell r="K39" t="str">
            <v>Falta Tarea</v>
          </cell>
          <cell r="L39"/>
          <cell r="M39" t="str">
            <v>N/A</v>
          </cell>
          <cell r="N39" t="str">
            <v>4) Repuesto sin tarea (IA)</v>
          </cell>
          <cell r="O39" t="str">
            <v>Material "LIQUIDO REFRIGERANTE KRIOX INORGANICO X 1000LTS" (Salidas: 10) no coincide con ninguna tarea de la orden</v>
          </cell>
          <cell r="T39">
            <v>46259</v>
          </cell>
          <cell r="U39">
            <v>46258</v>
          </cell>
        </row>
        <row r="40">
          <cell r="A40">
            <v>39610</v>
          </cell>
          <cell r="B40" t="str">
            <v>Correctivo</v>
          </cell>
          <cell r="C40" t="str">
            <v>SRAF</v>
          </cell>
          <cell r="D40" t="str">
            <v>Liberada</v>
          </cell>
          <cell r="E40" t="str">
            <v>No</v>
          </cell>
          <cell r="F40">
            <v>46255</v>
          </cell>
          <cell r="G40" t="str">
            <v>O</v>
          </cell>
          <cell r="H40" t="str">
            <v>NWV171</v>
          </cell>
          <cell r="I40" t="str">
            <v>16-BDAS. VOLC. 3 EJES</v>
          </cell>
          <cell r="J40" t="str">
            <v>Engrase Completo</v>
          </cell>
          <cell r="K40" t="str">
            <v>Falta Material</v>
          </cell>
          <cell r="L40"/>
          <cell r="M40" t="str">
            <v>No iniciada</v>
          </cell>
          <cell r="N40" t="str">
            <v>1) Orden sin repuestos asignados</v>
          </cell>
          <cell r="O40" t="str">
            <v>Ningún material cargado en la orden</v>
          </cell>
          <cell r="T40">
            <v>46259</v>
          </cell>
          <cell r="U40">
            <v>46258</v>
          </cell>
        </row>
        <row r="41">
          <cell r="A41">
            <v>39632</v>
          </cell>
          <cell r="B41" t="str">
            <v>Correctivo</v>
          </cell>
          <cell r="C41" t="str">
            <v>MNZA</v>
          </cell>
          <cell r="D41" t="str">
            <v>Liberada</v>
          </cell>
          <cell r="E41" t="str">
            <v>No</v>
          </cell>
          <cell r="F41">
            <v>46251</v>
          </cell>
          <cell r="G41" t="str">
            <v>O</v>
          </cell>
          <cell r="H41" t="str">
            <v>KRR045</v>
          </cell>
          <cell r="I41" t="str">
            <v>16-BDAS. VOLC. 3 EJES</v>
          </cell>
          <cell r="J41" t="str">
            <v>Cambiar Pulmon De Freno</v>
          </cell>
          <cell r="K41" t="str">
            <v>Falta Consumo</v>
          </cell>
          <cell r="L41"/>
          <cell r="M41" t="str">
            <v>No iniciada</v>
          </cell>
          <cell r="N41" t="str">
            <v>3) Planificado sin Salida física (Salidas = 0)</v>
          </cell>
          <cell r="O41" t="str">
            <v>Materiales planificados con Salida Cero: PULMON DE FRENO 30/30 CON BLOQUEADOR</v>
          </cell>
          <cell r="T41">
            <v>46259</v>
          </cell>
          <cell r="U41">
            <v>46259</v>
          </cell>
        </row>
        <row r="42">
          <cell r="A42" t="str">
            <v>39633</v>
          </cell>
          <cell r="B42" t="str">
            <v>Correctivo</v>
          </cell>
          <cell r="C42" t="str">
            <v>MNZA</v>
          </cell>
          <cell r="D42" t="str">
            <v>Liberada</v>
          </cell>
          <cell r="E42" t="str">
            <v>No</v>
          </cell>
          <cell r="F42">
            <v>46251</v>
          </cell>
          <cell r="G42" t="str">
            <v>O</v>
          </cell>
          <cell r="H42" t="str">
            <v>LRN157</v>
          </cell>
          <cell r="I42" t="str">
            <v>ATEGO 1725</v>
          </cell>
          <cell r="J42" t="str">
            <v>Sin tarea asociada</v>
          </cell>
          <cell r="K42" t="str">
            <v>Ok</v>
          </cell>
          <cell r="L42"/>
          <cell r="M42" t="str">
            <v>N/A</v>
          </cell>
          <cell r="N42" t="str">
            <v>4) Repuesto sin tarea (IA)</v>
          </cell>
          <cell r="O42" t="str">
            <v>Material "CAÑO POLIAMIDA TECALAN DE 6MM X MTS" (Salidas: 0.2) no coincide con ninguna tarea de la orden</v>
          </cell>
          <cell r="T42">
            <v>46259</v>
          </cell>
          <cell r="U42">
            <v>46259</v>
          </cell>
        </row>
        <row r="43">
          <cell r="A43" t="str">
            <v>39633</v>
          </cell>
          <cell r="B43" t="str">
            <v>Correctivo</v>
          </cell>
          <cell r="C43" t="str">
            <v>MNZA</v>
          </cell>
          <cell r="D43" t="str">
            <v>Liberada</v>
          </cell>
          <cell r="E43" t="str">
            <v>No</v>
          </cell>
          <cell r="F43">
            <v>46251</v>
          </cell>
          <cell r="G43" t="str">
            <v>O</v>
          </cell>
          <cell r="H43" t="str">
            <v>LRN157</v>
          </cell>
          <cell r="I43" t="str">
            <v>ATEGO 1725</v>
          </cell>
          <cell r="J43" t="str">
            <v>Sin tarea asociada</v>
          </cell>
          <cell r="K43" t="str">
            <v>Falta Tarea</v>
          </cell>
          <cell r="L43"/>
          <cell r="M43" t="str">
            <v>N/A</v>
          </cell>
          <cell r="N43" t="str">
            <v>4) Repuesto sin tarea (IA)</v>
          </cell>
          <cell r="O43" t="str">
            <v>Material "HIDRO ATF B 20 (125480)" (Salidas: 0.5) no coincide con ninguna tarea de la orden</v>
          </cell>
          <cell r="T43">
            <v>46259</v>
          </cell>
          <cell r="U43">
            <v>46259</v>
          </cell>
        </row>
        <row r="44">
          <cell r="A44">
            <v>39635</v>
          </cell>
          <cell r="B44" t="str">
            <v>Correctivo</v>
          </cell>
          <cell r="C44" t="str">
            <v>MNZA</v>
          </cell>
          <cell r="D44" t="str">
            <v>Liberada</v>
          </cell>
          <cell r="E44" t="str">
            <v>No</v>
          </cell>
          <cell r="F44">
            <v>46251</v>
          </cell>
          <cell r="G44" t="str">
            <v>O</v>
          </cell>
          <cell r="H44" t="str">
            <v>KBO542</v>
          </cell>
          <cell r="I44" t="str">
            <v>AXOR 1933</v>
          </cell>
          <cell r="J44" t="str">
            <v>Agregar Aceite</v>
          </cell>
          <cell r="K44" t="str">
            <v>Falta Consumo</v>
          </cell>
          <cell r="L44"/>
          <cell r="M44" t="str">
            <v>No iniciada</v>
          </cell>
          <cell r="N44" t="str">
            <v>3) Planificado sin Salida física (Salidas = 0)</v>
          </cell>
          <cell r="O44" t="str">
            <v>Materiales planificados con Salida Cero: CAÑO INYECTOR (OM 904-906) (A 906 070 24 33) ORIGINAL, ACEITE 15W40 XV300 X 205LT (TAMBOR)</v>
          </cell>
          <cell r="T44">
            <v>46259</v>
          </cell>
          <cell r="U44">
            <v>46259</v>
          </cell>
        </row>
        <row r="45">
          <cell r="A45">
            <v>39635</v>
          </cell>
          <cell r="B45" t="str">
            <v>Correctivo</v>
          </cell>
          <cell r="C45" t="str">
            <v>MNZA</v>
          </cell>
          <cell r="D45" t="str">
            <v>Liberada</v>
          </cell>
          <cell r="E45" t="str">
            <v>No</v>
          </cell>
          <cell r="F45">
            <v>46251</v>
          </cell>
          <cell r="G45" t="str">
            <v>O</v>
          </cell>
          <cell r="H45" t="str">
            <v>KBO542</v>
          </cell>
          <cell r="I45" t="str">
            <v>AXOR 1933</v>
          </cell>
          <cell r="J45" t="str">
            <v>Cambiar caño de inyectores</v>
          </cell>
          <cell r="K45" t="str">
            <v>Falta Consumo</v>
          </cell>
          <cell r="L45"/>
          <cell r="M45" t="str">
            <v>No iniciada</v>
          </cell>
          <cell r="N45" t="str">
            <v>3) Planificado sin Salida física (Salidas = 0)</v>
          </cell>
          <cell r="O45" t="str">
            <v>Materiales planificados con Salida Cero: CAÑO INYECTOR (OM 904-906) (A 906 070 24 33) ORIGINAL, ACEITE 15W40 XV300 X 205LT (TAMBOR)</v>
          </cell>
          <cell r="T45">
            <v>46259</v>
          </cell>
          <cell r="U45">
            <v>46259</v>
          </cell>
        </row>
        <row r="46">
          <cell r="A46">
            <v>39636</v>
          </cell>
          <cell r="B46" t="str">
            <v>Correctivo</v>
          </cell>
          <cell r="C46" t="str">
            <v>MNZA</v>
          </cell>
          <cell r="D46" t="str">
            <v>Liberada</v>
          </cell>
          <cell r="E46" t="str">
            <v>No</v>
          </cell>
          <cell r="F46">
            <v>46251</v>
          </cell>
          <cell r="G46" t="str">
            <v>O</v>
          </cell>
          <cell r="H46" t="str">
            <v>AG238NS</v>
          </cell>
          <cell r="I46" t="str">
            <v>ATEGO 1729</v>
          </cell>
          <cell r="J46" t="str">
            <v>Cambiar lampara 10w 24v</v>
          </cell>
          <cell r="K46" t="str">
            <v>Falta Consumo</v>
          </cell>
          <cell r="L46"/>
          <cell r="M46" t="str">
            <v>No iniciada</v>
          </cell>
          <cell r="N46" t="str">
            <v>3) Planificado sin Salida física (Salidas = 0)</v>
          </cell>
          <cell r="O46" t="str">
            <v>Materiales planificados con Salida Cero: ACOPLE RAPIDO RECTO DE 10MM, PRECINTOS 400X7,2MM X 100 UNI - RODA, CAÑO POLIAMIDA DE 3/8"" X MT, LAMPARA 24V 5W (C/CULOTE) - NEOLUX, ACOPLE RÁPIDO RECTO DE 12MM (UNIVERSAL), CUBIERTA LINEAL 295 R22.5 - FATE</v>
          </cell>
          <cell r="T46">
            <v>46259</v>
          </cell>
          <cell r="U46">
            <v>46259</v>
          </cell>
        </row>
        <row r="47">
          <cell r="A47">
            <v>39636</v>
          </cell>
          <cell r="B47" t="str">
            <v>Correctivo</v>
          </cell>
          <cell r="C47" t="str">
            <v>MNZA</v>
          </cell>
          <cell r="D47" t="str">
            <v>Liberada</v>
          </cell>
          <cell r="E47" t="str">
            <v>No</v>
          </cell>
          <cell r="F47">
            <v>46251</v>
          </cell>
          <cell r="G47" t="str">
            <v>O</v>
          </cell>
          <cell r="H47" t="str">
            <v>AG238NS</v>
          </cell>
          <cell r="I47" t="str">
            <v>ATEGO 1729</v>
          </cell>
          <cell r="J47" t="str">
            <v>Cambiar Cubierta DD</v>
          </cell>
          <cell r="K47" t="str">
            <v>Falta Consumo</v>
          </cell>
          <cell r="L47"/>
          <cell r="M47" t="str">
            <v>No iniciada</v>
          </cell>
          <cell r="N47" t="str">
            <v>3) Planificado sin Salida física (Salidas = 0)</v>
          </cell>
          <cell r="O47" t="str">
            <v>Materiales planificados con Salida Cero: ACOPLE RAPIDO RECTO DE 10MM, PRECINTOS 400X7,2MM X 100 UNI - RODA, CAÑO POLIAMIDA DE 3/8"" X MT, LAMPARA 24V 5W (C/CULOTE) - NEOLUX, ACOPLE RÁPIDO RECTO DE 12MM (UNIVERSAL), CUBIERTA LINEAL 295 R22.5 - FATE</v>
          </cell>
          <cell r="T47">
            <v>46259</v>
          </cell>
          <cell r="U47">
            <v>46259</v>
          </cell>
        </row>
        <row r="48">
          <cell r="A48">
            <v>39636</v>
          </cell>
          <cell r="B48" t="str">
            <v>Correctivo</v>
          </cell>
          <cell r="C48" t="str">
            <v>MNZA</v>
          </cell>
          <cell r="D48" t="str">
            <v>Liberada</v>
          </cell>
          <cell r="E48" t="str">
            <v>No</v>
          </cell>
          <cell r="F48">
            <v>46251</v>
          </cell>
          <cell r="G48" t="str">
            <v>O</v>
          </cell>
          <cell r="H48" t="str">
            <v>AG238NS</v>
          </cell>
          <cell r="I48" t="str">
            <v>ATEGO 1729</v>
          </cell>
          <cell r="J48" t="str">
            <v>Cambiar Cubierta DI</v>
          </cell>
          <cell r="K48" t="str">
            <v>Falta Consumo</v>
          </cell>
          <cell r="L48"/>
          <cell r="M48" t="str">
            <v>No iniciada</v>
          </cell>
          <cell r="N48" t="str">
            <v>3) Planificado sin Salida física (Salidas = 0)</v>
          </cell>
          <cell r="O48" t="str">
            <v>Materiales planificados con Salida Cero: ACOPLE RAPIDO RECTO DE 10MM, PRECINTOS 400X7,2MM X 100 UNI - RODA, CAÑO POLIAMIDA DE 3/8"" X MT, LAMPARA 24V 5W (C/CULOTE) - NEOLUX, ACOPLE RÁPIDO RECTO DE 12MM (UNIVERSAL), CUBIERTA LINEAL 295 R22.5 - FATE</v>
          </cell>
          <cell r="T48">
            <v>46259</v>
          </cell>
          <cell r="U48">
            <v>46259</v>
          </cell>
        </row>
        <row r="49">
          <cell r="A49" t="str">
            <v>39637</v>
          </cell>
          <cell r="B49" t="str">
            <v>Correctivo</v>
          </cell>
          <cell r="C49" t="str">
            <v>MNZA</v>
          </cell>
          <cell r="D49" t="str">
            <v>Liberada</v>
          </cell>
          <cell r="E49" t="str">
            <v>No</v>
          </cell>
          <cell r="F49">
            <v>46251</v>
          </cell>
          <cell r="G49" t="str">
            <v>O</v>
          </cell>
          <cell r="H49" t="str">
            <v>AE243WV</v>
          </cell>
          <cell r="I49" t="str">
            <v>ATEGO 2426</v>
          </cell>
          <cell r="J49" t="str">
            <v>Sin tarea que requiera material</v>
          </cell>
          <cell r="K49" t="str">
            <v>Ok</v>
          </cell>
          <cell r="L49"/>
          <cell r="M49" t="str">
            <v>N/A</v>
          </cell>
          <cell r="N49" t="str">
            <v>4) Repuesto sin tarea (IA)</v>
          </cell>
          <cell r="O49" t="str">
            <v>Material "LAMPARA H7 24V  - NEOLUX" (Salidas: 1) cargado pero ninguna tarea requiere material</v>
          </cell>
          <cell r="T49">
            <v>46259</v>
          </cell>
          <cell r="U49">
            <v>46259</v>
          </cell>
        </row>
        <row r="50">
          <cell r="A50" t="str">
            <v>39640</v>
          </cell>
          <cell r="B50" t="str">
            <v>Correctivo</v>
          </cell>
          <cell r="C50" t="str">
            <v>CIUD</v>
          </cell>
          <cell r="D50" t="str">
            <v>Liberada</v>
          </cell>
          <cell r="E50" t="str">
            <v>No</v>
          </cell>
          <cell r="F50">
            <v>46257</v>
          </cell>
          <cell r="G50" t="str">
            <v>O</v>
          </cell>
          <cell r="H50" t="str">
            <v>GFZ651</v>
          </cell>
          <cell r="I50" t="str">
            <v>1624</v>
          </cell>
          <cell r="J50" t="str">
            <v>Sin tarea asociada</v>
          </cell>
          <cell r="K50" t="str">
            <v>Ok</v>
          </cell>
          <cell r="L50"/>
          <cell r="M50" t="str">
            <v>N/A</v>
          </cell>
          <cell r="N50" t="str">
            <v>4) Repuesto sin tarea (IA)</v>
          </cell>
          <cell r="O50" t="str">
            <v>Material "HIDRO ATF B 20 (125480)" (Salidas: 1) no coincide con ninguna tarea de la orden</v>
          </cell>
          <cell r="T50">
            <v>46259</v>
          </cell>
          <cell r="U50">
            <v>46259</v>
          </cell>
        </row>
        <row r="51">
          <cell r="A51" t="str">
            <v>39643</v>
          </cell>
          <cell r="B51" t="str">
            <v>Correctivo</v>
          </cell>
          <cell r="C51" t="str">
            <v>SRAF</v>
          </cell>
          <cell r="D51" t="str">
            <v>Liberada</v>
          </cell>
          <cell r="E51" t="str">
            <v>No</v>
          </cell>
          <cell r="F51">
            <v>46257</v>
          </cell>
          <cell r="G51" t="str">
            <v>O</v>
          </cell>
          <cell r="H51" t="str">
            <v>AB010RV</v>
          </cell>
          <cell r="I51" t="str">
            <v>ACCELO 815</v>
          </cell>
          <cell r="J51" t="str">
            <v>Sin tarea que requiera material</v>
          </cell>
          <cell r="K51" t="str">
            <v>Falta Tarea</v>
          </cell>
          <cell r="L51"/>
          <cell r="M51" t="str">
            <v>N/A</v>
          </cell>
          <cell r="N51" t="str">
            <v>4) Repuesto sin tarea (IA)</v>
          </cell>
          <cell r="O51" t="str">
            <v>Material "MINI RELAY 24V 5 PATAS" (Salidas: 1) cargado pero ninguna tarea requiere material</v>
          </cell>
          <cell r="T51">
            <v>46259</v>
          </cell>
          <cell r="U51">
            <v>46259</v>
          </cell>
        </row>
        <row r="52">
          <cell r="A52">
            <v>39645</v>
          </cell>
          <cell r="B52" t="str">
            <v>Correctivo</v>
          </cell>
          <cell r="C52" t="str">
            <v>MNZA</v>
          </cell>
          <cell r="D52" t="str">
            <v>Liberada</v>
          </cell>
          <cell r="E52" t="str">
            <v>No</v>
          </cell>
          <cell r="F52">
            <v>46252</v>
          </cell>
          <cell r="G52" t="str">
            <v>O</v>
          </cell>
          <cell r="H52" t="str">
            <v>KHS009</v>
          </cell>
          <cell r="I52" t="str">
            <v>ATRON 1720</v>
          </cell>
          <cell r="J52" t="str">
            <v>Cambiar Ficha de Alternador</v>
          </cell>
          <cell r="K52" t="str">
            <v>Falta Consumo</v>
          </cell>
          <cell r="L52"/>
          <cell r="M52" t="str">
            <v>No iniciada</v>
          </cell>
          <cell r="N52" t="str">
            <v>3) Planificado sin Salida física (Salidas = 0)</v>
          </cell>
          <cell r="O52" t="str">
            <v>Materiales planificados con Salida Cero: FICHA ALTERNADOR AXOR 2035 - ORO (11568)</v>
          </cell>
          <cell r="T52">
            <v>46259</v>
          </cell>
          <cell r="U52">
            <v>46259</v>
          </cell>
        </row>
        <row r="53">
          <cell r="A53" t="str">
            <v>39646</v>
          </cell>
          <cell r="B53" t="str">
            <v>Correctivo</v>
          </cell>
          <cell r="C53" t="str">
            <v>MNZA</v>
          </cell>
          <cell r="D53" t="str">
            <v>Liberada</v>
          </cell>
          <cell r="E53" t="str">
            <v>No</v>
          </cell>
          <cell r="F53">
            <v>46252</v>
          </cell>
          <cell r="G53" t="str">
            <v>O</v>
          </cell>
          <cell r="H53" t="str">
            <v>LFK339</v>
          </cell>
          <cell r="I53" t="str">
            <v>AXOR 2035</v>
          </cell>
          <cell r="J53" t="str">
            <v>Sin tarea asociada</v>
          </cell>
          <cell r="K53" t="str">
            <v>Ok</v>
          </cell>
          <cell r="L53"/>
          <cell r="M53" t="str">
            <v>N/A</v>
          </cell>
          <cell r="N53" t="str">
            <v>4) Repuesto sin tarea (IA)</v>
          </cell>
          <cell r="O53" t="str">
            <v>Material "CAÑO POLIAMIDA TECALAN DE 6MM X MTS" (Salidas: 3) no coincide con ninguna tarea de la orden</v>
          </cell>
          <cell r="T53">
            <v>46259</v>
          </cell>
          <cell r="U53">
            <v>46259</v>
          </cell>
        </row>
        <row r="54">
          <cell r="A54" t="str">
            <v>39646</v>
          </cell>
          <cell r="B54" t="str">
            <v>Correctivo</v>
          </cell>
          <cell r="C54" t="str">
            <v>MNZA</v>
          </cell>
          <cell r="D54" t="str">
            <v>Liberada</v>
          </cell>
          <cell r="E54" t="str">
            <v>No</v>
          </cell>
          <cell r="F54">
            <v>46252</v>
          </cell>
          <cell r="G54" t="str">
            <v>O</v>
          </cell>
          <cell r="H54" t="str">
            <v>LFK339</v>
          </cell>
          <cell r="I54" t="str">
            <v>AXOR 2035</v>
          </cell>
          <cell r="J54" t="str">
            <v>Sin tarea asociada</v>
          </cell>
          <cell r="K54" t="str">
            <v>Ok</v>
          </cell>
          <cell r="L54"/>
          <cell r="M54" t="str">
            <v>N/A</v>
          </cell>
          <cell r="N54" t="str">
            <v>4) Repuesto sin tarea (IA)</v>
          </cell>
          <cell r="O54" t="str">
            <v>Material "CAÑO CORRUGADO ABIERTO 7-10MM x MT" (Salidas: 3) no coincide con ninguna tarea de la orden</v>
          </cell>
          <cell r="T54">
            <v>46259</v>
          </cell>
          <cell r="U54">
            <v>46259</v>
          </cell>
        </row>
        <row r="55">
          <cell r="A55">
            <v>40256</v>
          </cell>
          <cell r="B55" t="str">
            <v>Correctivo</v>
          </cell>
          <cell r="C55" t="str">
            <v>MNZA</v>
          </cell>
          <cell r="D55" t="str">
            <v>Liberada</v>
          </cell>
          <cell r="E55" t="str">
            <v>No</v>
          </cell>
          <cell r="F55">
            <v>46255</v>
          </cell>
          <cell r="G55" t="str">
            <v>O</v>
          </cell>
          <cell r="H55" t="str">
            <v>OAF641</v>
          </cell>
          <cell r="I55" t="str">
            <v>G310</v>
          </cell>
          <cell r="J55" t="str">
            <v>Cambiar lampara 5w 24v</v>
          </cell>
          <cell r="K55" t="str">
            <v>Falta Consumo</v>
          </cell>
          <cell r="L55"/>
          <cell r="M55" t="str">
            <v>No iniciada</v>
          </cell>
          <cell r="N55" t="str">
            <v>3) Planificado sin Salida física (Salidas = 0)</v>
          </cell>
          <cell r="O55" t="str">
            <v>Materiales planificados con Salida Cero: TERMINAL OJAL DE 6MM, LAMPARA 24V 5W (S/CULOTE) - OSRAM</v>
          </cell>
          <cell r="T55">
            <v>46259</v>
          </cell>
          <cell r="U55">
            <v>46259</v>
          </cell>
        </row>
        <row r="56">
          <cell r="A56">
            <v>40256</v>
          </cell>
          <cell r="B56" t="str">
            <v>Correctivo</v>
          </cell>
          <cell r="C56" t="str">
            <v>MNZA</v>
          </cell>
          <cell r="D56" t="str">
            <v>Liberada</v>
          </cell>
          <cell r="E56" t="str">
            <v>No</v>
          </cell>
          <cell r="F56">
            <v>46255</v>
          </cell>
          <cell r="G56" t="str">
            <v>O</v>
          </cell>
          <cell r="H56" t="str">
            <v>OAF641</v>
          </cell>
          <cell r="I56" t="str">
            <v>G310</v>
          </cell>
          <cell r="J56" t="str">
            <v>Cambiar Terminal Ojal 6mm</v>
          </cell>
          <cell r="K56" t="str">
            <v>Falta Consumo</v>
          </cell>
          <cell r="L56"/>
          <cell r="M56" t="str">
            <v>No iniciada</v>
          </cell>
          <cell r="N56" t="str">
            <v>3) Planificado sin Salida física (Salidas = 0)</v>
          </cell>
          <cell r="O56" t="str">
            <v>Materiales planificados con Salida Cero: TERMINAL OJAL DE 6MM, LAMPARA 24V 5W (S/CULOTE) - OSRAM</v>
          </cell>
          <cell r="T56">
            <v>46259</v>
          </cell>
          <cell r="U56">
            <v>46259</v>
          </cell>
        </row>
        <row r="57">
          <cell r="A57">
            <v>40257</v>
          </cell>
          <cell r="B57" t="str">
            <v>Correctivo</v>
          </cell>
          <cell r="C57" t="str">
            <v>MNZA</v>
          </cell>
          <cell r="D57" t="str">
            <v>Liberada</v>
          </cell>
          <cell r="E57" t="str">
            <v>No</v>
          </cell>
          <cell r="F57">
            <v>46255</v>
          </cell>
          <cell r="G57" t="str">
            <v>O</v>
          </cell>
          <cell r="H57" t="str">
            <v>LFK338</v>
          </cell>
          <cell r="I57" t="str">
            <v>AXOR 2035</v>
          </cell>
          <cell r="J57" t="str">
            <v>Cambiar Rotor De Vigia</v>
          </cell>
          <cell r="K57" t="str">
            <v>Falta Consumo</v>
          </cell>
          <cell r="L57"/>
          <cell r="M57" t="str">
            <v>No iniciada</v>
          </cell>
          <cell r="N57" t="str">
            <v>3) Planificado sin Salida física (Salidas = 0)</v>
          </cell>
          <cell r="O57" t="str">
            <v>Materiales planificados con Salida Cero: TAPA DE ROTOR - VIGIA (X1413.A070-0), ROTOR NPT 3/4" - CORTO (2361), CAÑO POLIAMIDA TECALAN DE 6MM X MTS, CONECTOR INFERIOR 1/4" (2384) - VIGIA (X2433.A108-2)</v>
          </cell>
          <cell r="T57">
            <v>46259</v>
          </cell>
          <cell r="U57">
            <v>46259</v>
          </cell>
        </row>
        <row r="58">
          <cell r="A58">
            <v>40257</v>
          </cell>
          <cell r="B58" t="str">
            <v>Correctivo</v>
          </cell>
          <cell r="C58" t="str">
            <v>MNZA</v>
          </cell>
          <cell r="D58" t="str">
            <v>Liberada</v>
          </cell>
          <cell r="E58" t="str">
            <v>No</v>
          </cell>
          <cell r="F58">
            <v>46255</v>
          </cell>
          <cell r="G58" t="str">
            <v>O</v>
          </cell>
          <cell r="H58" t="str">
            <v>LFK338</v>
          </cell>
          <cell r="I58" t="str">
            <v>AXOR 2035</v>
          </cell>
          <cell r="J58" t="str">
            <v>Cambiar Manguera Poliamida De 6mm</v>
          </cell>
          <cell r="K58" t="str">
            <v>Falta Consumo</v>
          </cell>
          <cell r="L58"/>
          <cell r="M58" t="str">
            <v>No iniciada</v>
          </cell>
          <cell r="N58" t="str">
            <v>3) Planificado sin Salida física (Salidas = 0)</v>
          </cell>
          <cell r="O58" t="str">
            <v>Materiales planificados con Salida Cero: TAPA DE ROTOR - VIGIA (X1413.A070-0), ROTOR NPT 3/4" - CORTO (2361), CAÑO POLIAMIDA TECALAN DE 6MM X MTS, CONECTOR INFERIOR 1/4" (2384) - VIGIA (X2433.A108-2)</v>
          </cell>
          <cell r="T58">
            <v>46259</v>
          </cell>
          <cell r="U58">
            <v>46259</v>
          </cell>
        </row>
        <row r="59">
          <cell r="A59">
            <v>40257</v>
          </cell>
          <cell r="B59" t="str">
            <v>Correctivo</v>
          </cell>
          <cell r="C59" t="str">
            <v>MNZA</v>
          </cell>
          <cell r="D59" t="str">
            <v>Liberada</v>
          </cell>
          <cell r="E59" t="str">
            <v>No</v>
          </cell>
          <cell r="F59">
            <v>46255</v>
          </cell>
          <cell r="G59" t="str">
            <v>O</v>
          </cell>
          <cell r="H59" t="str">
            <v>LFK338</v>
          </cell>
          <cell r="I59" t="str">
            <v>AXOR 2035</v>
          </cell>
          <cell r="J59" t="str">
            <v>Cambio Tapon NF 3/8 Vigia</v>
          </cell>
          <cell r="K59" t="str">
            <v>Falta Consumo</v>
          </cell>
          <cell r="L59"/>
          <cell r="M59" t="str">
            <v>No iniciada</v>
          </cell>
          <cell r="N59" t="str">
            <v>3) Planificado sin Salida física (Salidas = 0)</v>
          </cell>
          <cell r="O59" t="str">
            <v>Materiales planificados con Salida Cero: TAPA DE ROTOR - VIGIA (X1413.A070-0), ROTOR NPT 3/4" - CORTO (2361), CAÑO POLIAMIDA TECALAN DE 6MM X MTS, CONECTOR INFERIOR 1/4" (2384) - VIGIA (X2433.A108-2)</v>
          </cell>
          <cell r="T59">
            <v>46259</v>
          </cell>
          <cell r="U59">
            <v>46259</v>
          </cell>
        </row>
        <row r="60">
          <cell r="A60">
            <v>40258</v>
          </cell>
          <cell r="B60" t="str">
            <v>Correctivo</v>
          </cell>
          <cell r="C60" t="str">
            <v>MNZA</v>
          </cell>
          <cell r="D60" t="str">
            <v>Liberada</v>
          </cell>
          <cell r="E60" t="str">
            <v>No</v>
          </cell>
          <cell r="F60">
            <v>46254</v>
          </cell>
          <cell r="G60" t="str">
            <v>O</v>
          </cell>
          <cell r="H60" t="str">
            <v>JIU311</v>
          </cell>
          <cell r="I60" t="str">
            <v>AXOR 1933</v>
          </cell>
          <cell r="J60" t="str">
            <v>Cambiar Extremos De Palanca De Cambio</v>
          </cell>
          <cell r="K60" t="str">
            <v>Falta Consumo</v>
          </cell>
          <cell r="L60"/>
          <cell r="M60" t="str">
            <v>No iniciada</v>
          </cell>
          <cell r="N60" t="str">
            <v>3) Planificado sin Salida física (Salidas = 0)</v>
          </cell>
          <cell r="O60" t="str">
            <v>Materiales planificados con Salida Cero: ACEITE 15W40 XV300 X 205LT (TAMBOR), BULON HEXAGONAL 13X50MM X UN, TUERCA AUTOFRENANTES DE 10MM, ARANDELAS PLANAS DE 8MM, LAMPARA 24V 21/5W, EXTREMO DE PALANCA DE CAMBIOS HEMBRA IZQ (A 001 996 31 45) ORIGINAL</v>
          </cell>
          <cell r="T60">
            <v>46259</v>
          </cell>
          <cell r="U60">
            <v>46259</v>
          </cell>
        </row>
        <row r="61">
          <cell r="A61">
            <v>40258</v>
          </cell>
          <cell r="B61" t="str">
            <v>Correctivo</v>
          </cell>
          <cell r="C61" t="str">
            <v>MNZA</v>
          </cell>
          <cell r="D61" t="str">
            <v>Liberada</v>
          </cell>
          <cell r="E61" t="str">
            <v>No</v>
          </cell>
          <cell r="F61">
            <v>46254</v>
          </cell>
          <cell r="G61" t="str">
            <v>O</v>
          </cell>
          <cell r="H61" t="str">
            <v>JIU311</v>
          </cell>
          <cell r="I61" t="str">
            <v>AXOR 1933</v>
          </cell>
          <cell r="J61" t="str">
            <v>Agregar Aceite</v>
          </cell>
          <cell r="K61" t="str">
            <v>Falta Consumo</v>
          </cell>
          <cell r="L61"/>
          <cell r="M61" t="str">
            <v>No iniciada</v>
          </cell>
          <cell r="N61" t="str">
            <v>3) Planificado sin Salida física (Salidas = 0)</v>
          </cell>
          <cell r="O61" t="str">
            <v>Materiales planificados con Salida Cero: ACEITE 15W40 XV300 X 205LT (TAMBOR), BULON HEXAGONAL 13X50MM X UN, TUERCA AUTOFRENANTES DE 10MM, ARANDELAS PLANAS DE 8MM, LAMPARA 24V 21/5W, EXTREMO DE PALANCA DE CAMBIOS HEMBRA IZQ (A 001 996 31 45) ORIGINAL</v>
          </cell>
          <cell r="T61">
            <v>46259</v>
          </cell>
          <cell r="U61">
            <v>46259</v>
          </cell>
        </row>
        <row r="62">
          <cell r="A62">
            <v>40258</v>
          </cell>
          <cell r="B62" t="str">
            <v>Correctivo</v>
          </cell>
          <cell r="C62" t="str">
            <v>MNZA</v>
          </cell>
          <cell r="D62" t="str">
            <v>Liberada</v>
          </cell>
          <cell r="E62" t="str">
            <v>No</v>
          </cell>
          <cell r="F62">
            <v>46254</v>
          </cell>
          <cell r="G62" t="str">
            <v>O</v>
          </cell>
          <cell r="H62" t="str">
            <v>JIU311</v>
          </cell>
          <cell r="I62" t="str">
            <v>AXOR 1933</v>
          </cell>
          <cell r="J62" t="str">
            <v>Cambiar lampara 5w 24v</v>
          </cell>
          <cell r="K62" t="str">
            <v>Falta Consumo</v>
          </cell>
          <cell r="L62"/>
          <cell r="M62" t="str">
            <v>No iniciada</v>
          </cell>
          <cell r="N62" t="str">
            <v>3) Planificado sin Salida física (Salidas = 0)</v>
          </cell>
          <cell r="O62" t="str">
            <v>Materiales planificados con Salida Cero: ACEITE 15W40 XV300 X 205LT (TAMBOR), BULON HEXAGONAL 13X50MM X UN, TUERCA AUTOFRENANTES DE 10MM, ARANDELAS PLANAS DE 8MM, LAMPARA 24V 21/5W, EXTREMO DE PALANCA DE CAMBIOS HEMBRA IZQ (A 001 996 31 45) ORIGINAL</v>
          </cell>
          <cell r="T62">
            <v>46259</v>
          </cell>
          <cell r="U62">
            <v>46259</v>
          </cell>
        </row>
        <row r="63">
          <cell r="A63">
            <v>40259</v>
          </cell>
          <cell r="B63" t="str">
            <v>Correctivo</v>
          </cell>
          <cell r="C63" t="str">
            <v>MNZA</v>
          </cell>
          <cell r="D63" t="str">
            <v>Liberada</v>
          </cell>
          <cell r="E63" t="str">
            <v>No</v>
          </cell>
          <cell r="F63">
            <v>46254</v>
          </cell>
          <cell r="G63" t="str">
            <v>O</v>
          </cell>
          <cell r="H63" t="str">
            <v>KER728</v>
          </cell>
          <cell r="I63" t="str">
            <v>ATEGO 1725</v>
          </cell>
          <cell r="J63" t="str">
            <v>Limpieza Y Desengrase De Caja Termica</v>
          </cell>
          <cell r="K63" t="str">
            <v>Falta Consumo</v>
          </cell>
          <cell r="L63"/>
          <cell r="M63" t="str">
            <v>No iniciada</v>
          </cell>
          <cell r="N63" t="str">
            <v>3) Planificado sin Salida física (Salidas = 0)</v>
          </cell>
          <cell r="O63" t="str">
            <v>Materiales planificados con Salida Cero: LAMPARA R10 24V  - OSRAM, LAMPARA H7 24V  - NEOLUX</v>
          </cell>
          <cell r="T63">
            <v>46259</v>
          </cell>
          <cell r="U63">
            <v>46259</v>
          </cell>
        </row>
        <row r="64">
          <cell r="A64">
            <v>40259</v>
          </cell>
          <cell r="B64" t="str">
            <v>Correctivo</v>
          </cell>
          <cell r="C64" t="str">
            <v>MNZA</v>
          </cell>
          <cell r="D64" t="str">
            <v>Liberada</v>
          </cell>
          <cell r="E64" t="str">
            <v>No</v>
          </cell>
          <cell r="F64">
            <v>46254</v>
          </cell>
          <cell r="G64" t="str">
            <v>O</v>
          </cell>
          <cell r="H64" t="str">
            <v>KER728</v>
          </cell>
          <cell r="I64" t="str">
            <v>ATEGO 1725</v>
          </cell>
          <cell r="J64" t="str">
            <v>Cambiar lampara h7 24v</v>
          </cell>
          <cell r="K64" t="str">
            <v>Falta Consumo</v>
          </cell>
          <cell r="L64"/>
          <cell r="M64" t="str">
            <v>No iniciada</v>
          </cell>
          <cell r="N64" t="str">
            <v>3) Planificado sin Salida física (Salidas = 0)</v>
          </cell>
          <cell r="O64" t="str">
            <v>Materiales planificados con Salida Cero: LAMPARA R10 24V  - OSRAM, LAMPARA H7 24V  - NEOLUX</v>
          </cell>
          <cell r="T64">
            <v>46259</v>
          </cell>
          <cell r="U64">
            <v>46259</v>
          </cell>
        </row>
        <row r="65">
          <cell r="A65">
            <v>40259</v>
          </cell>
          <cell r="B65" t="str">
            <v>Correctivo</v>
          </cell>
          <cell r="C65" t="str">
            <v>MNZA</v>
          </cell>
          <cell r="D65" t="str">
            <v>Liberada</v>
          </cell>
          <cell r="E65" t="str">
            <v>No</v>
          </cell>
          <cell r="F65">
            <v>46254</v>
          </cell>
          <cell r="G65" t="str">
            <v>O</v>
          </cell>
          <cell r="H65" t="str">
            <v>KER728</v>
          </cell>
          <cell r="I65" t="str">
            <v>ATEGO 1725</v>
          </cell>
          <cell r="J65" t="str">
            <v>Cambiar lamparas</v>
          </cell>
          <cell r="K65" t="str">
            <v>Falta Consumo</v>
          </cell>
          <cell r="L65"/>
          <cell r="M65" t="str">
            <v>No iniciada</v>
          </cell>
          <cell r="N65" t="str">
            <v>3) Planificado sin Salida física (Salidas = 0)</v>
          </cell>
          <cell r="O65" t="str">
            <v>Materiales planificados con Salida Cero: LAMPARA R10 24V  - OSRAM, LAMPARA H7 24V  - NEOLUX</v>
          </cell>
          <cell r="T65">
            <v>46259</v>
          </cell>
          <cell r="U65">
            <v>46259</v>
          </cell>
        </row>
        <row r="66">
          <cell r="A66">
            <v>40260</v>
          </cell>
          <cell r="B66" t="str">
            <v>Correctivo</v>
          </cell>
          <cell r="C66" t="str">
            <v>MNZA</v>
          </cell>
          <cell r="D66" t="str">
            <v>Liberada</v>
          </cell>
          <cell r="E66" t="str">
            <v>No</v>
          </cell>
          <cell r="F66">
            <v>46254</v>
          </cell>
          <cell r="G66" t="str">
            <v>O</v>
          </cell>
          <cell r="H66" t="str">
            <v>HSC655</v>
          </cell>
          <cell r="I66" t="str">
            <v>1318</v>
          </cell>
          <cell r="J66" t="str">
            <v>Cambiar lampara 10w 24v</v>
          </cell>
          <cell r="K66" t="str">
            <v>Falta Consumo</v>
          </cell>
          <cell r="L66"/>
          <cell r="M66" t="str">
            <v>No iniciada</v>
          </cell>
          <cell r="N66" t="str">
            <v>3) Planificado sin Salida física (Salidas = 0)</v>
          </cell>
          <cell r="O66" t="str">
            <v>Materiales planificados con Salida Cero: ARANDELA PLANAS DE 10MM, LAMPARA 24V 5W (S/CULOTE) - OSRAM, LAMPARA R10 24V  - OSRAM</v>
          </cell>
          <cell r="T66">
            <v>46259</v>
          </cell>
          <cell r="U66">
            <v>46259</v>
          </cell>
        </row>
        <row r="67">
          <cell r="A67">
            <v>40260</v>
          </cell>
          <cell r="B67" t="str">
            <v>Correctivo</v>
          </cell>
          <cell r="C67" t="str">
            <v>MNZA</v>
          </cell>
          <cell r="D67" t="str">
            <v>Liberada</v>
          </cell>
          <cell r="E67" t="str">
            <v>No</v>
          </cell>
          <cell r="F67">
            <v>46254</v>
          </cell>
          <cell r="G67" t="str">
            <v>O</v>
          </cell>
          <cell r="H67" t="str">
            <v>HSC655</v>
          </cell>
          <cell r="I67" t="str">
            <v>1318</v>
          </cell>
          <cell r="J67" t="str">
            <v>Cambiar lampara 5w 24v</v>
          </cell>
          <cell r="K67" t="str">
            <v>Falta Consumo</v>
          </cell>
          <cell r="L67"/>
          <cell r="M67" t="str">
            <v>No iniciada</v>
          </cell>
          <cell r="N67" t="str">
            <v>3) Planificado sin Salida física (Salidas = 0)</v>
          </cell>
          <cell r="O67" t="str">
            <v>Materiales planificados con Salida Cero: ARANDELA PLANAS DE 10MM, LAMPARA 24V 5W (S/CULOTE) - OSRAM, LAMPARA R10 24V  - OSRAM</v>
          </cell>
          <cell r="T67">
            <v>46259</v>
          </cell>
          <cell r="U67">
            <v>46259</v>
          </cell>
        </row>
        <row r="68">
          <cell r="A68" t="str">
            <v>40262</v>
          </cell>
          <cell r="B68" t="str">
            <v>Correctivo</v>
          </cell>
          <cell r="C68" t="str">
            <v>CIUD</v>
          </cell>
          <cell r="D68" t="str">
            <v>Liberada</v>
          </cell>
          <cell r="E68" t="str">
            <v>No</v>
          </cell>
          <cell r="F68">
            <v>46257</v>
          </cell>
          <cell r="G68" t="str">
            <v>O</v>
          </cell>
          <cell r="H68" t="str">
            <v>OAF640</v>
          </cell>
          <cell r="I68" t="str">
            <v>G310</v>
          </cell>
          <cell r="J68" t="str">
            <v>Sin tarea que requiera material</v>
          </cell>
          <cell r="K68" t="str">
            <v>Ok</v>
          </cell>
          <cell r="L68"/>
          <cell r="M68" t="str">
            <v>N/A</v>
          </cell>
          <cell r="N68" t="str">
            <v>4) Repuesto sin tarea (IA)</v>
          </cell>
          <cell r="O68" t="str">
            <v>Material "LAMPARA CREE LED H7 24V - OSRAM" (Salidas: 1) cargado pero ninguna tarea requiere material</v>
          </cell>
          <cell r="T68">
            <v>46259</v>
          </cell>
          <cell r="U68">
            <v>46259</v>
          </cell>
        </row>
        <row r="69">
          <cell r="A69" t="str">
            <v>40263</v>
          </cell>
          <cell r="B69" t="str">
            <v>Correctivo</v>
          </cell>
          <cell r="C69" t="str">
            <v>CIUD</v>
          </cell>
          <cell r="D69" t="str">
            <v>Liberada</v>
          </cell>
          <cell r="E69" t="str">
            <v>No</v>
          </cell>
          <cell r="F69">
            <v>46257</v>
          </cell>
          <cell r="G69" t="str">
            <v>O</v>
          </cell>
          <cell r="H69" t="str">
            <v>AF491HL</v>
          </cell>
          <cell r="I69" t="str">
            <v>SPRINTER 316 CDI FURGON 3665</v>
          </cell>
          <cell r="J69" t="str">
            <v>Sin tarea que requiera material</v>
          </cell>
          <cell r="K69" t="str">
            <v>Revisar Material no corresponde (12V)</v>
          </cell>
          <cell r="L69"/>
          <cell r="M69" t="str">
            <v>N/A</v>
          </cell>
          <cell r="N69" t="str">
            <v>4) Repuesto sin tarea (IA)</v>
          </cell>
          <cell r="O69" t="str">
            <v>Material "LAMPARA CREE LED H7 24V - OSRAM" (Salidas: 1) cargado pero ninguna tarea requiere material</v>
          </cell>
          <cell r="T69">
            <v>46259</v>
          </cell>
          <cell r="U69">
            <v>46259</v>
          </cell>
        </row>
        <row r="70">
          <cell r="A70" t="str">
            <v>40264</v>
          </cell>
          <cell r="B70" t="str">
            <v>Correctivo</v>
          </cell>
          <cell r="C70" t="str">
            <v>CIUD</v>
          </cell>
          <cell r="D70" t="str">
            <v>Liberada</v>
          </cell>
          <cell r="E70" t="str">
            <v>No</v>
          </cell>
          <cell r="F70">
            <v>46257</v>
          </cell>
          <cell r="G70" t="str">
            <v>O</v>
          </cell>
          <cell r="H70" t="str">
            <v>AG095MQ</v>
          </cell>
          <cell r="I70" t="str">
            <v>ATEGO 1721</v>
          </cell>
          <cell r="J70" t="str">
            <v>Sin tarea que requiera material</v>
          </cell>
          <cell r="K70" t="str">
            <v>Ok</v>
          </cell>
          <cell r="L70"/>
          <cell r="M70" t="str">
            <v>N/A</v>
          </cell>
          <cell r="N70" t="str">
            <v>4) Repuesto sin tarea (IA)</v>
          </cell>
          <cell r="O70" t="str">
            <v>Material "LAMPARA CREE LED H7 24V - OSRAM" (Salidas: 1) cargado pero ninguna tarea requiere material</v>
          </cell>
          <cell r="T70">
            <v>46259</v>
          </cell>
          <cell r="U70">
            <v>46259</v>
          </cell>
        </row>
        <row r="71">
          <cell r="A71" t="str">
            <v>40270</v>
          </cell>
          <cell r="B71" t="str">
            <v>Correctivo</v>
          </cell>
          <cell r="C71" t="str">
            <v>CIUD</v>
          </cell>
          <cell r="D71" t="str">
            <v>Liberada</v>
          </cell>
          <cell r="E71" t="str">
            <v>No</v>
          </cell>
          <cell r="F71">
            <v>46257</v>
          </cell>
          <cell r="G71" t="str">
            <v>O</v>
          </cell>
          <cell r="H71" t="str">
            <v>KKZ666</v>
          </cell>
          <cell r="I71" t="str">
            <v>FTHDCFW3</v>
          </cell>
          <cell r="J71" t="str">
            <v>Sin tarea asociada</v>
          </cell>
          <cell r="K71" t="str">
            <v>Falta Tarea</v>
          </cell>
          <cell r="L71"/>
          <cell r="M71" t="str">
            <v>N/A</v>
          </cell>
          <cell r="N71" t="str">
            <v>4) Repuesto sin tarea (IA)</v>
          </cell>
          <cell r="O71" t="str">
            <v>Material "LAMPARA 24V 5W (S/CULOTE) - NEOLUX" (Salidas: 1) no coincide con ninguna tarea de la orden</v>
          </cell>
          <cell r="T71">
            <v>46259</v>
          </cell>
          <cell r="U71">
            <v>46259</v>
          </cell>
        </row>
        <row r="72">
          <cell r="A72">
            <v>40271</v>
          </cell>
          <cell r="B72" t="str">
            <v>Auxilios</v>
          </cell>
          <cell r="C72" t="str">
            <v>CIUD</v>
          </cell>
          <cell r="D72" t="str">
            <v>Liberada</v>
          </cell>
          <cell r="E72" t="str">
            <v>No</v>
          </cell>
          <cell r="F72">
            <v>46257</v>
          </cell>
          <cell r="G72" t="str">
            <v>O</v>
          </cell>
          <cell r="H72" t="str">
            <v>AD426HX</v>
          </cell>
          <cell r="I72" t="str">
            <v>AXOR 2541</v>
          </cell>
          <cell r="J72" t="str">
            <v>Coloco Cubierta Usada TDE  - Armado y Desarmado</v>
          </cell>
          <cell r="K72" t="str">
            <v xml:space="preserve">Ok </v>
          </cell>
          <cell r="L72"/>
          <cell r="M72" t="str">
            <v>No iniciada</v>
          </cell>
          <cell r="N72" t="str">
            <v>1) Orden sin repuestos asignados</v>
          </cell>
          <cell r="O72" t="str">
            <v>Ningún material cargado en la orden</v>
          </cell>
          <cell r="T72">
            <v>46259</v>
          </cell>
          <cell r="U72">
            <v>46259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5"/>
  <sheetViews>
    <sheetView tabSelected="1" topLeftCell="E30" workbookViewId="0"/>
  </sheetViews>
  <sheetFormatPr baseColWidth="10" defaultColWidth="8.88671875" defaultRowHeight="14.4" x14ac:dyDescent="0.3"/>
  <cols>
    <col min="1" max="1" width="13" customWidth="1"/>
    <col min="2" max="2" width="16" customWidth="1"/>
    <col min="3" max="3" width="20" customWidth="1"/>
    <col min="4" max="4" width="15" customWidth="1"/>
    <col min="5" max="5" width="16" customWidth="1"/>
    <col min="6" max="6" width="20" customWidth="1"/>
    <col min="7" max="7" width="22" customWidth="1"/>
    <col min="8" max="8" width="16" customWidth="1"/>
    <col min="9" max="9" width="32" customWidth="1"/>
    <col min="10" max="10" width="60" customWidth="1"/>
    <col min="11" max="12" width="18.44140625" customWidth="1"/>
    <col min="13" max="13" width="15" customWidth="1"/>
    <col min="14" max="14" width="49" customWidth="1"/>
    <col min="15" max="15" width="80" customWidth="1"/>
    <col min="16" max="16" width="15" customWidth="1"/>
    <col min="17" max="17" width="23" customWidth="1"/>
    <col min="18" max="18" width="15" customWidth="1"/>
    <col min="19" max="19" width="19" customWidth="1"/>
    <col min="20" max="21" width="9.5546875" bestFit="1" customWidth="1"/>
  </cols>
  <sheetData>
    <row r="1" spans="1:22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169</v>
      </c>
      <c r="L1" s="10" t="s">
        <v>170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0" t="s">
        <v>171</v>
      </c>
      <c r="U1" s="10" t="s">
        <v>172</v>
      </c>
      <c r="V1" s="12" t="s">
        <v>173</v>
      </c>
    </row>
    <row r="2" spans="1:22" x14ac:dyDescent="0.3">
      <c r="A2" s="17">
        <v>38411</v>
      </c>
      <c r="B2" s="17" t="s">
        <v>17</v>
      </c>
      <c r="C2" s="18" t="s">
        <v>30</v>
      </c>
      <c r="D2" s="17" t="s">
        <v>26</v>
      </c>
      <c r="E2" s="17" t="s">
        <v>19</v>
      </c>
      <c r="F2" s="19">
        <v>46237</v>
      </c>
      <c r="G2" s="17" t="s">
        <v>20</v>
      </c>
      <c r="H2" s="18" t="s">
        <v>31</v>
      </c>
      <c r="I2" s="18" t="s">
        <v>32</v>
      </c>
      <c r="J2" s="7" t="s">
        <v>33</v>
      </c>
      <c r="K2" s="4" t="str">
        <f>VLOOKUP($A2,[1]Auditoría!$A$2:$U$72,11,FALSE)</f>
        <v>Falta Consumo</v>
      </c>
      <c r="L2" s="7"/>
      <c r="M2" s="2" t="s">
        <v>22</v>
      </c>
      <c r="N2" s="3" t="s">
        <v>34</v>
      </c>
      <c r="O2" s="3" t="s">
        <v>35</v>
      </c>
      <c r="R2" s="15"/>
      <c r="T2" s="14">
        <v>46260</v>
      </c>
      <c r="U2" s="13">
        <v>46248</v>
      </c>
    </row>
    <row r="3" spans="1:22" x14ac:dyDescent="0.3">
      <c r="A3" s="17">
        <v>38411</v>
      </c>
      <c r="B3" s="17" t="s">
        <v>17</v>
      </c>
      <c r="C3" s="18" t="s">
        <v>30</v>
      </c>
      <c r="D3" s="17" t="s">
        <v>26</v>
      </c>
      <c r="E3" s="17" t="s">
        <v>19</v>
      </c>
      <c r="F3" s="19">
        <v>46237</v>
      </c>
      <c r="G3" s="17" t="s">
        <v>20</v>
      </c>
      <c r="H3" s="18" t="s">
        <v>31</v>
      </c>
      <c r="I3" s="18" t="s">
        <v>32</v>
      </c>
      <c r="J3" s="7" t="s">
        <v>70</v>
      </c>
      <c r="K3" s="4" t="str">
        <f>VLOOKUP($A3,[1]Auditoría!$A$2:$U$72,11,FALSE)</f>
        <v>Falta Consumo</v>
      </c>
      <c r="L3" s="7"/>
      <c r="M3" s="5" t="s">
        <v>22</v>
      </c>
      <c r="N3" s="6" t="s">
        <v>34</v>
      </c>
      <c r="O3" s="6" t="s">
        <v>35</v>
      </c>
      <c r="T3" s="14">
        <v>46260</v>
      </c>
      <c r="U3" s="13">
        <v>46248</v>
      </c>
    </row>
    <row r="4" spans="1:22" x14ac:dyDescent="0.3">
      <c r="A4" s="17">
        <v>38411</v>
      </c>
      <c r="B4" s="17" t="s">
        <v>17</v>
      </c>
      <c r="C4" s="18" t="s">
        <v>30</v>
      </c>
      <c r="D4" s="17" t="s">
        <v>26</v>
      </c>
      <c r="E4" s="17" t="s">
        <v>19</v>
      </c>
      <c r="F4" s="19">
        <v>46237</v>
      </c>
      <c r="G4" s="17" t="s">
        <v>20</v>
      </c>
      <c r="H4" s="18" t="s">
        <v>31</v>
      </c>
      <c r="I4" s="18" t="s">
        <v>32</v>
      </c>
      <c r="J4" s="7" t="s">
        <v>80</v>
      </c>
      <c r="K4" s="4" t="str">
        <f>VLOOKUP($A4,[1]Auditoría!$A$2:$U$72,11,FALSE)</f>
        <v>Falta Consumo</v>
      </c>
      <c r="L4" s="7"/>
      <c r="M4" s="2" t="s">
        <v>22</v>
      </c>
      <c r="N4" s="3" t="s">
        <v>34</v>
      </c>
      <c r="O4" s="3" t="s">
        <v>35</v>
      </c>
      <c r="T4" s="14">
        <v>46260</v>
      </c>
      <c r="U4" s="13">
        <v>46248</v>
      </c>
    </row>
    <row r="5" spans="1:22" x14ac:dyDescent="0.3">
      <c r="A5" s="17">
        <v>38534</v>
      </c>
      <c r="B5" s="17" t="s">
        <v>17</v>
      </c>
      <c r="C5" s="18" t="s">
        <v>25</v>
      </c>
      <c r="D5" s="17" t="s">
        <v>26</v>
      </c>
      <c r="E5" s="17" t="s">
        <v>19</v>
      </c>
      <c r="F5" s="19">
        <v>46239</v>
      </c>
      <c r="G5" s="17" t="s">
        <v>20</v>
      </c>
      <c r="H5" s="18" t="s">
        <v>27</v>
      </c>
      <c r="I5" s="18" t="s">
        <v>28</v>
      </c>
      <c r="J5" s="4" t="s">
        <v>29</v>
      </c>
      <c r="K5" s="4" t="str">
        <f>VLOOKUP($A5,[1]Auditoría!$A$2:$U$72,11,FALSE)</f>
        <v>Falta Material</v>
      </c>
      <c r="L5" s="4"/>
      <c r="M5" s="5" t="s">
        <v>22</v>
      </c>
      <c r="N5" s="6" t="s">
        <v>23</v>
      </c>
      <c r="O5" s="6" t="s">
        <v>24</v>
      </c>
      <c r="R5" s="16"/>
      <c r="T5" s="14">
        <v>46260</v>
      </c>
      <c r="U5" s="13">
        <v>46248</v>
      </c>
    </row>
    <row r="6" spans="1:22" x14ac:dyDescent="0.3">
      <c r="A6" s="17" t="s">
        <v>101</v>
      </c>
      <c r="B6" s="17" t="s">
        <v>17</v>
      </c>
      <c r="C6" s="18" t="s">
        <v>25</v>
      </c>
      <c r="D6" s="17" t="s">
        <v>26</v>
      </c>
      <c r="E6" s="17" t="s">
        <v>19</v>
      </c>
      <c r="F6" s="19">
        <v>46241</v>
      </c>
      <c r="G6" s="17" t="s">
        <v>20</v>
      </c>
      <c r="H6" s="18" t="s">
        <v>102</v>
      </c>
      <c r="I6" s="18" t="s">
        <v>89</v>
      </c>
      <c r="J6" s="8" t="s">
        <v>90</v>
      </c>
      <c r="K6" s="4" t="s">
        <v>176</v>
      </c>
      <c r="L6" s="8"/>
      <c r="M6" s="2" t="s">
        <v>91</v>
      </c>
      <c r="N6" s="3" t="s">
        <v>92</v>
      </c>
      <c r="O6" s="3" t="s">
        <v>103</v>
      </c>
      <c r="T6" s="14">
        <v>46260</v>
      </c>
      <c r="U6" s="14">
        <v>46260</v>
      </c>
    </row>
    <row r="7" spans="1:22" x14ac:dyDescent="0.3">
      <c r="A7" s="17">
        <v>38936</v>
      </c>
      <c r="B7" s="17" t="s">
        <v>17</v>
      </c>
      <c r="C7" s="18" t="s">
        <v>36</v>
      </c>
      <c r="D7" s="17" t="s">
        <v>26</v>
      </c>
      <c r="E7" s="17" t="s">
        <v>19</v>
      </c>
      <c r="F7" s="19">
        <v>46241</v>
      </c>
      <c r="G7" s="17" t="s">
        <v>20</v>
      </c>
      <c r="H7" s="18" t="s">
        <v>65</v>
      </c>
      <c r="I7" s="18" t="s">
        <v>66</v>
      </c>
      <c r="J7" s="7" t="s">
        <v>69</v>
      </c>
      <c r="K7" s="4" t="str">
        <f>VLOOKUP($A7,[1]Auditoría!$A$2:$U$72,11,FALSE)</f>
        <v>Falta Consumo</v>
      </c>
      <c r="L7" s="7"/>
      <c r="M7" s="2" t="s">
        <v>22</v>
      </c>
      <c r="N7" s="3" t="s">
        <v>34</v>
      </c>
      <c r="O7" s="3" t="s">
        <v>41</v>
      </c>
      <c r="T7" s="14">
        <v>46260</v>
      </c>
      <c r="U7" s="13">
        <v>46248</v>
      </c>
    </row>
    <row r="8" spans="1:22" x14ac:dyDescent="0.3">
      <c r="A8" s="17">
        <v>38989</v>
      </c>
      <c r="B8" s="17" t="s">
        <v>61</v>
      </c>
      <c r="C8" s="18" t="s">
        <v>25</v>
      </c>
      <c r="D8" s="17" t="s">
        <v>26</v>
      </c>
      <c r="E8" s="17" t="s">
        <v>19</v>
      </c>
      <c r="F8" s="19">
        <v>46239</v>
      </c>
      <c r="G8" s="17" t="s">
        <v>20</v>
      </c>
      <c r="H8" s="18" t="s">
        <v>74</v>
      </c>
      <c r="I8" s="18" t="s">
        <v>75</v>
      </c>
      <c r="J8" s="4" t="s">
        <v>76</v>
      </c>
      <c r="K8" s="4" t="str">
        <f>VLOOKUP($A8,[1]Auditoría!$A$2:$U$72,11,FALSE)</f>
        <v>Falta Material</v>
      </c>
      <c r="L8" s="4"/>
      <c r="M8" s="5" t="s">
        <v>22</v>
      </c>
      <c r="N8" s="6" t="s">
        <v>23</v>
      </c>
      <c r="O8" s="6" t="s">
        <v>24</v>
      </c>
      <c r="T8" s="14">
        <v>46260</v>
      </c>
      <c r="U8" s="13">
        <v>46248</v>
      </c>
    </row>
    <row r="9" spans="1:22" x14ac:dyDescent="0.3">
      <c r="A9" s="5" t="s">
        <v>105</v>
      </c>
      <c r="B9" s="5" t="s">
        <v>94</v>
      </c>
      <c r="C9" s="6" t="s">
        <v>30</v>
      </c>
      <c r="D9" s="5" t="s">
        <v>26</v>
      </c>
      <c r="E9" s="5" t="s">
        <v>19</v>
      </c>
      <c r="F9" s="9">
        <v>46245</v>
      </c>
      <c r="G9" s="15"/>
      <c r="H9" s="6" t="s">
        <v>106</v>
      </c>
      <c r="I9" s="6" t="s">
        <v>107</v>
      </c>
      <c r="J9" s="8" t="s">
        <v>90</v>
      </c>
      <c r="K9" s="4" t="str">
        <f>VLOOKUP($A9,[1]Auditoría!$A$2:$U$72,11,FALSE)</f>
        <v>(Ver es estructura o Insumo)</v>
      </c>
      <c r="L9" s="8"/>
      <c r="M9" s="5" t="s">
        <v>91</v>
      </c>
      <c r="N9" s="6" t="s">
        <v>92</v>
      </c>
      <c r="O9" s="6" t="s">
        <v>108</v>
      </c>
      <c r="T9" s="14">
        <v>46260</v>
      </c>
      <c r="U9" s="13">
        <v>46248</v>
      </c>
    </row>
    <row r="10" spans="1:22" x14ac:dyDescent="0.3">
      <c r="A10" s="2" t="s">
        <v>105</v>
      </c>
      <c r="B10" s="2" t="s">
        <v>94</v>
      </c>
      <c r="C10" s="3" t="s">
        <v>30</v>
      </c>
      <c r="D10" s="2" t="s">
        <v>26</v>
      </c>
      <c r="E10" s="2" t="s">
        <v>19</v>
      </c>
      <c r="F10" s="9">
        <v>46245</v>
      </c>
      <c r="G10" s="15"/>
      <c r="H10" s="3" t="s">
        <v>106</v>
      </c>
      <c r="I10" s="3" t="s">
        <v>107</v>
      </c>
      <c r="J10" s="8" t="s">
        <v>90</v>
      </c>
      <c r="K10" s="4" t="str">
        <f>VLOOKUP($A10,[1]Auditoría!$A$2:$U$72,11,FALSE)</f>
        <v>(Ver es estructura o Insumo)</v>
      </c>
      <c r="L10" s="8"/>
      <c r="M10" s="2" t="s">
        <v>91</v>
      </c>
      <c r="N10" s="3" t="s">
        <v>92</v>
      </c>
      <c r="O10" s="3" t="s">
        <v>109</v>
      </c>
      <c r="T10" s="14">
        <v>46260</v>
      </c>
      <c r="U10" s="13">
        <v>46248</v>
      </c>
    </row>
    <row r="11" spans="1:22" x14ac:dyDescent="0.3">
      <c r="A11" s="17">
        <v>39010</v>
      </c>
      <c r="B11" s="17" t="s">
        <v>17</v>
      </c>
      <c r="C11" s="18" t="s">
        <v>25</v>
      </c>
      <c r="D11" s="17" t="s">
        <v>26</v>
      </c>
      <c r="E11" s="17" t="s">
        <v>19</v>
      </c>
      <c r="F11" s="19">
        <v>46245</v>
      </c>
      <c r="G11" s="17" t="s">
        <v>20</v>
      </c>
      <c r="H11" s="18" t="s">
        <v>42</v>
      </c>
      <c r="I11" s="18" t="s">
        <v>43</v>
      </c>
      <c r="J11" s="4" t="s">
        <v>40</v>
      </c>
      <c r="K11" s="4" t="str">
        <f>VLOOKUP($A11,[1]Auditoría!$A$2:$U$72,11,FALSE)</f>
        <v>Falta Material</v>
      </c>
      <c r="L11" s="4"/>
      <c r="M11" s="5" t="s">
        <v>44</v>
      </c>
      <c r="N11" s="6" t="s">
        <v>23</v>
      </c>
      <c r="O11" s="6" t="s">
        <v>24</v>
      </c>
      <c r="T11" s="14">
        <v>46260</v>
      </c>
      <c r="U11" s="13">
        <v>46248</v>
      </c>
    </row>
    <row r="12" spans="1:22" x14ac:dyDescent="0.3">
      <c r="A12" s="17">
        <v>39113</v>
      </c>
      <c r="B12" s="17" t="s">
        <v>17</v>
      </c>
      <c r="C12" s="18" t="s">
        <v>36</v>
      </c>
      <c r="D12" s="17" t="s">
        <v>26</v>
      </c>
      <c r="E12" s="17" t="s">
        <v>19</v>
      </c>
      <c r="F12" s="19">
        <v>46242</v>
      </c>
      <c r="G12" s="17" t="s">
        <v>20</v>
      </c>
      <c r="H12" s="18" t="s">
        <v>77</v>
      </c>
      <c r="I12" s="18" t="s">
        <v>66</v>
      </c>
      <c r="J12" s="7" t="s">
        <v>78</v>
      </c>
      <c r="K12" s="4" t="str">
        <f>VLOOKUP($A12,[1]Auditoría!$A$2:$U$72,11,FALSE)</f>
        <v>Falta Consumo</v>
      </c>
      <c r="L12" s="7"/>
      <c r="M12" s="2" t="s">
        <v>22</v>
      </c>
      <c r="N12" s="3" t="s">
        <v>34</v>
      </c>
      <c r="O12" s="3" t="s">
        <v>79</v>
      </c>
      <c r="T12" s="14">
        <v>46260</v>
      </c>
      <c r="U12" s="13">
        <v>46248</v>
      </c>
    </row>
    <row r="13" spans="1:22" x14ac:dyDescent="0.3">
      <c r="A13" s="17">
        <v>39128</v>
      </c>
      <c r="B13" s="17" t="s">
        <v>17</v>
      </c>
      <c r="C13" s="18" t="s">
        <v>36</v>
      </c>
      <c r="D13" s="17" t="s">
        <v>26</v>
      </c>
      <c r="E13" s="17" t="s">
        <v>19</v>
      </c>
      <c r="F13" s="19">
        <v>46244</v>
      </c>
      <c r="G13" s="17" t="s">
        <v>20</v>
      </c>
      <c r="H13" s="18" t="s">
        <v>81</v>
      </c>
      <c r="I13" s="18" t="s">
        <v>51</v>
      </c>
      <c r="J13" s="7" t="s">
        <v>82</v>
      </c>
      <c r="K13" s="4" t="str">
        <f>VLOOKUP($A13,[1]Auditoría!$A$2:$U$72,11,FALSE)</f>
        <v>Falta Consumo</v>
      </c>
      <c r="L13" s="7"/>
      <c r="M13" s="5" t="s">
        <v>22</v>
      </c>
      <c r="N13" s="6" t="s">
        <v>34</v>
      </c>
      <c r="O13" s="6" t="s">
        <v>83</v>
      </c>
      <c r="T13" s="14">
        <v>46260</v>
      </c>
      <c r="U13" s="13">
        <v>46248</v>
      </c>
    </row>
    <row r="14" spans="1:22" x14ac:dyDescent="0.3">
      <c r="A14" s="17">
        <v>39151</v>
      </c>
      <c r="B14" s="17" t="s">
        <v>17</v>
      </c>
      <c r="C14" s="18" t="s">
        <v>36</v>
      </c>
      <c r="D14" s="17" t="s">
        <v>26</v>
      </c>
      <c r="E14" s="17" t="s">
        <v>19</v>
      </c>
      <c r="F14" s="19">
        <v>46245</v>
      </c>
      <c r="G14" s="17" t="s">
        <v>20</v>
      </c>
      <c r="H14" s="18" t="s">
        <v>65</v>
      </c>
      <c r="I14" s="18" t="s">
        <v>66</v>
      </c>
      <c r="J14" s="7" t="s">
        <v>67</v>
      </c>
      <c r="K14" s="4" t="str">
        <f>VLOOKUP($A14,[1]Auditoría!$A$2:$U$72,11,FALSE)</f>
        <v>Falta Consumo</v>
      </c>
      <c r="L14" s="7"/>
      <c r="M14" s="5" t="s">
        <v>22</v>
      </c>
      <c r="N14" s="6" t="s">
        <v>34</v>
      </c>
      <c r="O14" s="6" t="s">
        <v>68</v>
      </c>
      <c r="T14" s="14">
        <v>46260</v>
      </c>
      <c r="U14" s="13">
        <v>46248</v>
      </c>
    </row>
    <row r="15" spans="1:22" x14ac:dyDescent="0.3">
      <c r="A15" s="17" t="s">
        <v>110</v>
      </c>
      <c r="B15" s="17" t="s">
        <v>17</v>
      </c>
      <c r="C15" s="18" t="s">
        <v>36</v>
      </c>
      <c r="D15" s="17" t="s">
        <v>26</v>
      </c>
      <c r="E15" s="17" t="s">
        <v>19</v>
      </c>
      <c r="F15" s="19">
        <v>46252</v>
      </c>
      <c r="G15" s="17" t="s">
        <v>20</v>
      </c>
      <c r="H15" s="18" t="s">
        <v>111</v>
      </c>
      <c r="I15" s="18" t="s">
        <v>98</v>
      </c>
      <c r="J15" s="8" t="s">
        <v>93</v>
      </c>
      <c r="K15" s="4" t="s">
        <v>176</v>
      </c>
      <c r="L15" s="8"/>
      <c r="M15" s="5" t="s">
        <v>91</v>
      </c>
      <c r="N15" s="6" t="s">
        <v>92</v>
      </c>
      <c r="O15" s="6" t="s">
        <v>112</v>
      </c>
      <c r="T15" s="14">
        <v>46260</v>
      </c>
      <c r="U15" s="14">
        <v>46260</v>
      </c>
    </row>
    <row r="16" spans="1:22" x14ac:dyDescent="0.3">
      <c r="A16" s="17">
        <v>39334</v>
      </c>
      <c r="B16" s="17" t="s">
        <v>17</v>
      </c>
      <c r="C16" s="18" t="s">
        <v>36</v>
      </c>
      <c r="D16" s="17" t="s">
        <v>26</v>
      </c>
      <c r="E16" s="17" t="s">
        <v>19</v>
      </c>
      <c r="F16" s="19">
        <v>46252</v>
      </c>
      <c r="G16" s="17" t="s">
        <v>20</v>
      </c>
      <c r="H16" s="18" t="s">
        <v>72</v>
      </c>
      <c r="I16" s="18" t="s">
        <v>51</v>
      </c>
      <c r="J16" s="7" t="s">
        <v>37</v>
      </c>
      <c r="K16" s="4" t="str">
        <f>VLOOKUP($A16,[1]Auditoría!$A$2:$U$72,11,FALSE)</f>
        <v>Falta Consumo</v>
      </c>
      <c r="L16" s="7"/>
      <c r="M16" s="5" t="s">
        <v>22</v>
      </c>
      <c r="N16" s="6" t="s">
        <v>34</v>
      </c>
      <c r="O16" s="6" t="s">
        <v>73</v>
      </c>
      <c r="T16" s="14">
        <v>46260</v>
      </c>
      <c r="U16" s="13">
        <v>46253</v>
      </c>
    </row>
    <row r="17" spans="1:21" x14ac:dyDescent="0.3">
      <c r="A17" s="17" t="s">
        <v>114</v>
      </c>
      <c r="B17" s="17" t="s">
        <v>17</v>
      </c>
      <c r="C17" s="18" t="s">
        <v>36</v>
      </c>
      <c r="D17" s="17" t="s">
        <v>26</v>
      </c>
      <c r="E17" s="17" t="s">
        <v>19</v>
      </c>
      <c r="F17" s="19">
        <v>46252</v>
      </c>
      <c r="G17" s="17" t="s">
        <v>20</v>
      </c>
      <c r="H17" s="18" t="s">
        <v>99</v>
      </c>
      <c r="I17" s="18" t="s">
        <v>100</v>
      </c>
      <c r="J17" s="8" t="s">
        <v>90</v>
      </c>
      <c r="K17" s="4" t="s">
        <v>176</v>
      </c>
      <c r="L17" s="8"/>
      <c r="M17" s="5" t="s">
        <v>91</v>
      </c>
      <c r="N17" s="6" t="s">
        <v>92</v>
      </c>
      <c r="O17" s="6" t="s">
        <v>115</v>
      </c>
      <c r="T17" s="14">
        <v>46260</v>
      </c>
      <c r="U17" s="14">
        <v>46260</v>
      </c>
    </row>
    <row r="18" spans="1:21" x14ac:dyDescent="0.3">
      <c r="A18" s="17" t="s">
        <v>116</v>
      </c>
      <c r="B18" s="17" t="s">
        <v>17</v>
      </c>
      <c r="C18" s="18" t="s">
        <v>36</v>
      </c>
      <c r="D18" s="17" t="s">
        <v>18</v>
      </c>
      <c r="E18" s="17" t="s">
        <v>19</v>
      </c>
      <c r="F18" s="19">
        <v>46252</v>
      </c>
      <c r="G18" s="17" t="s">
        <v>20</v>
      </c>
      <c r="H18" s="18" t="s">
        <v>117</v>
      </c>
      <c r="I18" s="18" t="s">
        <v>54</v>
      </c>
      <c r="J18" s="8" t="s">
        <v>93</v>
      </c>
      <c r="K18" s="4" t="s">
        <v>176</v>
      </c>
      <c r="L18" s="8"/>
      <c r="M18" s="2" t="s">
        <v>91</v>
      </c>
      <c r="N18" s="3" t="s">
        <v>92</v>
      </c>
      <c r="O18" s="3" t="s">
        <v>118</v>
      </c>
      <c r="T18" s="14">
        <v>46260</v>
      </c>
      <c r="U18" s="14">
        <v>46260</v>
      </c>
    </row>
    <row r="19" spans="1:21" x14ac:dyDescent="0.3">
      <c r="A19" s="17">
        <v>39377</v>
      </c>
      <c r="B19" s="17" t="s">
        <v>17</v>
      </c>
      <c r="C19" s="18" t="s">
        <v>36</v>
      </c>
      <c r="D19" s="17" t="s">
        <v>26</v>
      </c>
      <c r="E19" s="17" t="s">
        <v>19</v>
      </c>
      <c r="F19" s="19">
        <v>46246</v>
      </c>
      <c r="G19" s="17" t="s">
        <v>20</v>
      </c>
      <c r="H19" s="18" t="s">
        <v>85</v>
      </c>
      <c r="I19" s="18" t="s">
        <v>21</v>
      </c>
      <c r="J19" s="7" t="s">
        <v>86</v>
      </c>
      <c r="K19" s="4" t="str">
        <f>VLOOKUP($A19,[1]Auditoría!$A$2:$U$72,11,FALSE)</f>
        <v>Falta Consumo</v>
      </c>
      <c r="L19" s="7"/>
      <c r="M19" s="5" t="s">
        <v>22</v>
      </c>
      <c r="N19" s="6" t="s">
        <v>34</v>
      </c>
      <c r="O19" s="6" t="s">
        <v>87</v>
      </c>
      <c r="T19" s="14">
        <v>46260</v>
      </c>
      <c r="U19" s="13">
        <v>46254</v>
      </c>
    </row>
    <row r="20" spans="1:21" x14ac:dyDescent="0.3">
      <c r="A20" s="17" t="s">
        <v>119</v>
      </c>
      <c r="B20" s="17" t="s">
        <v>17</v>
      </c>
      <c r="C20" s="18" t="s">
        <v>36</v>
      </c>
      <c r="D20" s="17" t="s">
        <v>26</v>
      </c>
      <c r="E20" s="17" t="s">
        <v>19</v>
      </c>
      <c r="F20" s="19">
        <v>46253</v>
      </c>
      <c r="G20" s="17" t="s">
        <v>20</v>
      </c>
      <c r="H20" s="18" t="s">
        <v>120</v>
      </c>
      <c r="I20" s="18" t="s">
        <v>121</v>
      </c>
      <c r="J20" s="8" t="s">
        <v>93</v>
      </c>
      <c r="K20" s="4" t="s">
        <v>176</v>
      </c>
      <c r="L20" s="8"/>
      <c r="M20" s="5" t="s">
        <v>91</v>
      </c>
      <c r="N20" s="6" t="s">
        <v>92</v>
      </c>
      <c r="O20" s="6" t="s">
        <v>122</v>
      </c>
      <c r="T20" s="14">
        <v>46260</v>
      </c>
      <c r="U20" s="14">
        <v>46260</v>
      </c>
    </row>
    <row r="21" spans="1:21" x14ac:dyDescent="0.3">
      <c r="A21" s="17" t="s">
        <v>123</v>
      </c>
      <c r="B21" s="17" t="s">
        <v>17</v>
      </c>
      <c r="C21" s="18" t="s">
        <v>36</v>
      </c>
      <c r="D21" s="17" t="s">
        <v>18</v>
      </c>
      <c r="E21" s="17" t="s">
        <v>19</v>
      </c>
      <c r="F21" s="19">
        <v>46254</v>
      </c>
      <c r="G21" s="17" t="s">
        <v>20</v>
      </c>
      <c r="H21" s="18" t="s">
        <v>124</v>
      </c>
      <c r="I21" s="18" t="s">
        <v>63</v>
      </c>
      <c r="J21" s="8" t="s">
        <v>93</v>
      </c>
      <c r="K21" s="4" t="s">
        <v>176</v>
      </c>
      <c r="L21" s="8"/>
      <c r="M21" s="2" t="s">
        <v>91</v>
      </c>
      <c r="N21" s="3" t="s">
        <v>92</v>
      </c>
      <c r="O21" s="3" t="s">
        <v>125</v>
      </c>
      <c r="T21" s="14">
        <v>46260</v>
      </c>
      <c r="U21" s="14">
        <v>46260</v>
      </c>
    </row>
    <row r="22" spans="1:21" x14ac:dyDescent="0.3">
      <c r="A22" s="17" t="s">
        <v>126</v>
      </c>
      <c r="B22" s="17" t="s">
        <v>17</v>
      </c>
      <c r="C22" s="18" t="s">
        <v>36</v>
      </c>
      <c r="D22" s="17" t="s">
        <v>18</v>
      </c>
      <c r="E22" s="17" t="s">
        <v>19</v>
      </c>
      <c r="F22" s="19">
        <v>46254</v>
      </c>
      <c r="G22" s="17" t="s">
        <v>20</v>
      </c>
      <c r="H22" s="18" t="s">
        <v>127</v>
      </c>
      <c r="I22" s="18" t="s">
        <v>98</v>
      </c>
      <c r="J22" s="8" t="s">
        <v>93</v>
      </c>
      <c r="K22" s="4" t="s">
        <v>176</v>
      </c>
      <c r="L22" s="8"/>
      <c r="M22" s="5" t="s">
        <v>91</v>
      </c>
      <c r="N22" s="6" t="s">
        <v>92</v>
      </c>
      <c r="O22" s="6" t="s">
        <v>128</v>
      </c>
      <c r="T22" s="14">
        <v>46260</v>
      </c>
      <c r="U22" s="14">
        <v>46260</v>
      </c>
    </row>
    <row r="23" spans="1:21" x14ac:dyDescent="0.3">
      <c r="A23" s="17" t="s">
        <v>129</v>
      </c>
      <c r="B23" s="17" t="s">
        <v>17</v>
      </c>
      <c r="C23" s="18" t="s">
        <v>36</v>
      </c>
      <c r="D23" s="17" t="s">
        <v>26</v>
      </c>
      <c r="E23" s="17" t="s">
        <v>19</v>
      </c>
      <c r="F23" s="19">
        <v>46254</v>
      </c>
      <c r="G23" s="20" t="s">
        <v>20</v>
      </c>
      <c r="H23" s="18" t="s">
        <v>130</v>
      </c>
      <c r="I23" s="18" t="s">
        <v>131</v>
      </c>
      <c r="J23" s="8" t="s">
        <v>93</v>
      </c>
      <c r="K23" s="4" t="s">
        <v>176</v>
      </c>
      <c r="L23" s="8"/>
      <c r="M23" s="2" t="s">
        <v>91</v>
      </c>
      <c r="N23" s="3" t="s">
        <v>92</v>
      </c>
      <c r="O23" s="3" t="s">
        <v>118</v>
      </c>
      <c r="T23" s="14">
        <v>46260</v>
      </c>
      <c r="U23" s="14">
        <v>46260</v>
      </c>
    </row>
    <row r="24" spans="1:21" x14ac:dyDescent="0.3">
      <c r="A24" s="17">
        <v>39574</v>
      </c>
      <c r="B24" s="17" t="s">
        <v>17</v>
      </c>
      <c r="C24" s="18" t="s">
        <v>36</v>
      </c>
      <c r="D24" s="17" t="s">
        <v>26</v>
      </c>
      <c r="E24" s="17" t="s">
        <v>19</v>
      </c>
      <c r="F24" s="19">
        <v>46255</v>
      </c>
      <c r="G24" s="20" t="s">
        <v>20</v>
      </c>
      <c r="H24" s="18" t="s">
        <v>38</v>
      </c>
      <c r="I24" s="18" t="s">
        <v>39</v>
      </c>
      <c r="J24" s="7" t="s">
        <v>40</v>
      </c>
      <c r="K24" s="4" t="s">
        <v>174</v>
      </c>
      <c r="L24" s="7"/>
      <c r="M24" s="2" t="s">
        <v>22</v>
      </c>
      <c r="N24" s="3" t="s">
        <v>34</v>
      </c>
      <c r="O24" s="3" t="s">
        <v>41</v>
      </c>
      <c r="T24" s="14">
        <v>46260</v>
      </c>
      <c r="U24" s="13">
        <v>46258</v>
      </c>
    </row>
    <row r="25" spans="1:21" x14ac:dyDescent="0.3">
      <c r="A25" s="17">
        <v>39610</v>
      </c>
      <c r="B25" s="17" t="s">
        <v>17</v>
      </c>
      <c r="C25" s="18" t="s">
        <v>25</v>
      </c>
      <c r="D25" s="17" t="s">
        <v>26</v>
      </c>
      <c r="E25" s="17" t="s">
        <v>19</v>
      </c>
      <c r="F25" s="19">
        <v>46256</v>
      </c>
      <c r="G25" s="20" t="s">
        <v>20</v>
      </c>
      <c r="H25" s="18" t="s">
        <v>88</v>
      </c>
      <c r="I25" s="18" t="s">
        <v>89</v>
      </c>
      <c r="J25" s="4" t="s">
        <v>40</v>
      </c>
      <c r="K25" s="4" t="str">
        <f>VLOOKUP($A25,[1]Auditoría!$A$2:$U$72,11,FALSE)</f>
        <v>Falta Material</v>
      </c>
      <c r="L25" s="4"/>
      <c r="M25" s="5" t="s">
        <v>44</v>
      </c>
      <c r="N25" s="6" t="s">
        <v>23</v>
      </c>
      <c r="O25" s="6" t="s">
        <v>24</v>
      </c>
      <c r="T25" s="14">
        <v>46260</v>
      </c>
      <c r="U25" s="13">
        <v>46258</v>
      </c>
    </row>
    <row r="26" spans="1:21" x14ac:dyDescent="0.3">
      <c r="A26" s="17" t="s">
        <v>133</v>
      </c>
      <c r="B26" s="17" t="s">
        <v>17</v>
      </c>
      <c r="C26" s="18" t="s">
        <v>30</v>
      </c>
      <c r="D26" s="17" t="s">
        <v>26</v>
      </c>
      <c r="E26" s="17" t="s">
        <v>19</v>
      </c>
      <c r="F26" s="19">
        <v>46252</v>
      </c>
      <c r="G26" s="17" t="s">
        <v>20</v>
      </c>
      <c r="H26" s="18" t="s">
        <v>134</v>
      </c>
      <c r="I26" s="18" t="s">
        <v>135</v>
      </c>
      <c r="J26" s="8" t="s">
        <v>93</v>
      </c>
      <c r="K26" s="4" t="s">
        <v>176</v>
      </c>
      <c r="L26" s="8"/>
      <c r="M26" s="5" t="s">
        <v>91</v>
      </c>
      <c r="N26" s="6" t="s">
        <v>92</v>
      </c>
      <c r="O26" s="6" t="s">
        <v>136</v>
      </c>
      <c r="T26" s="14">
        <v>46260</v>
      </c>
      <c r="U26" s="14">
        <v>46260</v>
      </c>
    </row>
    <row r="27" spans="1:21" x14ac:dyDescent="0.3">
      <c r="A27" s="17" t="s">
        <v>133</v>
      </c>
      <c r="B27" s="17" t="s">
        <v>17</v>
      </c>
      <c r="C27" s="18" t="s">
        <v>30</v>
      </c>
      <c r="D27" s="17" t="s">
        <v>26</v>
      </c>
      <c r="E27" s="17" t="s">
        <v>19</v>
      </c>
      <c r="F27" s="19">
        <v>46252</v>
      </c>
      <c r="G27" s="20" t="s">
        <v>20</v>
      </c>
      <c r="H27" s="18" t="s">
        <v>134</v>
      </c>
      <c r="I27" s="18" t="s">
        <v>135</v>
      </c>
      <c r="J27" s="8" t="s">
        <v>93</v>
      </c>
      <c r="K27" s="4" t="s">
        <v>176</v>
      </c>
      <c r="L27" s="8"/>
      <c r="M27" s="2" t="s">
        <v>91</v>
      </c>
      <c r="N27" s="3" t="s">
        <v>92</v>
      </c>
      <c r="O27" s="3" t="s">
        <v>104</v>
      </c>
      <c r="T27" s="14">
        <v>46260</v>
      </c>
      <c r="U27" s="14">
        <v>46260</v>
      </c>
    </row>
    <row r="28" spans="1:21" x14ac:dyDescent="0.3">
      <c r="A28" s="17" t="s">
        <v>137</v>
      </c>
      <c r="B28" s="17" t="s">
        <v>17</v>
      </c>
      <c r="C28" s="18" t="s">
        <v>30</v>
      </c>
      <c r="D28" s="17" t="s">
        <v>26</v>
      </c>
      <c r="E28" s="17" t="s">
        <v>19</v>
      </c>
      <c r="F28" s="19">
        <v>46252</v>
      </c>
      <c r="G28" s="20" t="s">
        <v>20</v>
      </c>
      <c r="H28" s="18" t="s">
        <v>138</v>
      </c>
      <c r="I28" s="18" t="s">
        <v>139</v>
      </c>
      <c r="J28" s="8" t="s">
        <v>93</v>
      </c>
      <c r="K28" s="4" t="s">
        <v>176</v>
      </c>
      <c r="L28" s="8"/>
      <c r="M28" s="5" t="s">
        <v>91</v>
      </c>
      <c r="N28" s="6" t="s">
        <v>92</v>
      </c>
      <c r="O28" s="6" t="s">
        <v>140</v>
      </c>
      <c r="T28" s="14">
        <v>46260</v>
      </c>
      <c r="U28" s="14">
        <v>46260</v>
      </c>
    </row>
    <row r="29" spans="1:21" x14ac:dyDescent="0.3">
      <c r="A29" s="17" t="s">
        <v>137</v>
      </c>
      <c r="B29" s="17" t="s">
        <v>17</v>
      </c>
      <c r="C29" s="18" t="s">
        <v>30</v>
      </c>
      <c r="D29" s="17" t="s">
        <v>26</v>
      </c>
      <c r="E29" s="17" t="s">
        <v>19</v>
      </c>
      <c r="F29" s="19">
        <v>46252</v>
      </c>
      <c r="G29" s="20" t="s">
        <v>20</v>
      </c>
      <c r="H29" s="18" t="s">
        <v>138</v>
      </c>
      <c r="I29" s="18" t="s">
        <v>139</v>
      </c>
      <c r="J29" s="8" t="s">
        <v>93</v>
      </c>
      <c r="K29" s="4" t="s">
        <v>176</v>
      </c>
      <c r="L29" s="8"/>
      <c r="M29" s="2" t="s">
        <v>91</v>
      </c>
      <c r="N29" s="3" t="s">
        <v>92</v>
      </c>
      <c r="O29" s="3" t="s">
        <v>141</v>
      </c>
      <c r="T29" s="14">
        <v>46260</v>
      </c>
      <c r="U29" s="14">
        <v>46260</v>
      </c>
    </row>
    <row r="30" spans="1:21" x14ac:dyDescent="0.3">
      <c r="A30" s="17" t="s">
        <v>137</v>
      </c>
      <c r="B30" s="17" t="s">
        <v>17</v>
      </c>
      <c r="C30" s="18" t="s">
        <v>30</v>
      </c>
      <c r="D30" s="17" t="s">
        <v>26</v>
      </c>
      <c r="E30" s="17" t="s">
        <v>19</v>
      </c>
      <c r="F30" s="19">
        <v>46252</v>
      </c>
      <c r="G30" s="20" t="s">
        <v>20</v>
      </c>
      <c r="H30" s="18" t="s">
        <v>138</v>
      </c>
      <c r="I30" s="18" t="s">
        <v>139</v>
      </c>
      <c r="J30" s="8" t="s">
        <v>93</v>
      </c>
      <c r="K30" s="4" t="s">
        <v>176</v>
      </c>
      <c r="L30" s="8"/>
      <c r="M30" s="5" t="s">
        <v>91</v>
      </c>
      <c r="N30" s="6" t="s">
        <v>92</v>
      </c>
      <c r="O30" s="6" t="s">
        <v>142</v>
      </c>
      <c r="T30" s="14">
        <v>46260</v>
      </c>
      <c r="U30" s="14">
        <v>46260</v>
      </c>
    </row>
    <row r="31" spans="1:21" x14ac:dyDescent="0.3">
      <c r="A31" s="17">
        <v>40028</v>
      </c>
      <c r="B31" s="17" t="s">
        <v>17</v>
      </c>
      <c r="C31" s="18" t="s">
        <v>36</v>
      </c>
      <c r="D31" s="17" t="s">
        <v>26</v>
      </c>
      <c r="E31" s="17" t="s">
        <v>19</v>
      </c>
      <c r="F31" s="19">
        <v>46252</v>
      </c>
      <c r="G31" s="17" t="s">
        <v>20</v>
      </c>
      <c r="H31" s="18" t="s">
        <v>58</v>
      </c>
      <c r="I31" s="18" t="s">
        <v>21</v>
      </c>
      <c r="J31" s="7" t="s">
        <v>59</v>
      </c>
      <c r="K31" s="4" t="s">
        <v>174</v>
      </c>
      <c r="L31" s="7"/>
      <c r="M31" s="2" t="s">
        <v>44</v>
      </c>
      <c r="N31" s="3" t="s">
        <v>34</v>
      </c>
      <c r="O31" s="3" t="s">
        <v>60</v>
      </c>
      <c r="T31" s="14">
        <v>46260</v>
      </c>
      <c r="U31" s="14">
        <v>46260</v>
      </c>
    </row>
    <row r="32" spans="1:21" ht="15.6" customHeight="1" x14ac:dyDescent="0.3">
      <c r="A32" s="17" t="s">
        <v>143</v>
      </c>
      <c r="B32" s="17" t="s">
        <v>17</v>
      </c>
      <c r="C32" s="18" t="s">
        <v>25</v>
      </c>
      <c r="D32" s="17" t="s">
        <v>26</v>
      </c>
      <c r="E32" s="17" t="s">
        <v>19</v>
      </c>
      <c r="F32" s="19">
        <v>46259</v>
      </c>
      <c r="G32" s="17" t="s">
        <v>20</v>
      </c>
      <c r="H32" s="18" t="s">
        <v>144</v>
      </c>
      <c r="I32" s="18" t="s">
        <v>95</v>
      </c>
      <c r="J32" s="8" t="s">
        <v>90</v>
      </c>
      <c r="K32" s="4" t="s">
        <v>177</v>
      </c>
      <c r="L32" s="8"/>
      <c r="M32" s="5" t="s">
        <v>91</v>
      </c>
      <c r="N32" s="6" t="s">
        <v>92</v>
      </c>
      <c r="O32" s="6" t="s">
        <v>145</v>
      </c>
      <c r="T32" s="14">
        <v>46260</v>
      </c>
      <c r="U32" s="14">
        <v>46260</v>
      </c>
    </row>
    <row r="33" spans="1:21" x14ac:dyDescent="0.3">
      <c r="A33" s="17">
        <v>40279</v>
      </c>
      <c r="B33" s="17" t="s">
        <v>17</v>
      </c>
      <c r="C33" s="18" t="s">
        <v>36</v>
      </c>
      <c r="D33" s="17" t="s">
        <v>26</v>
      </c>
      <c r="E33" s="17" t="s">
        <v>19</v>
      </c>
      <c r="F33" s="19">
        <v>46259</v>
      </c>
      <c r="G33" s="21"/>
      <c r="H33" s="18" t="s">
        <v>55</v>
      </c>
      <c r="I33" s="18" t="s">
        <v>56</v>
      </c>
      <c r="J33" s="4" t="s">
        <v>57</v>
      </c>
      <c r="K33" s="4" t="s">
        <v>175</v>
      </c>
      <c r="L33" s="4"/>
      <c r="M33" s="2" t="s">
        <v>22</v>
      </c>
      <c r="N33" s="3" t="s">
        <v>23</v>
      </c>
      <c r="O33" s="3" t="s">
        <v>24</v>
      </c>
      <c r="T33" s="14">
        <v>46260</v>
      </c>
      <c r="U33" s="14">
        <v>46260</v>
      </c>
    </row>
    <row r="34" spans="1:21" x14ac:dyDescent="0.3">
      <c r="A34" s="17" t="s">
        <v>146</v>
      </c>
      <c r="B34" s="17" t="s">
        <v>17</v>
      </c>
      <c r="C34" s="18" t="s">
        <v>25</v>
      </c>
      <c r="D34" s="17" t="s">
        <v>26</v>
      </c>
      <c r="E34" s="17" t="s">
        <v>19</v>
      </c>
      <c r="F34" s="19">
        <v>46259</v>
      </c>
      <c r="G34" s="17" t="s">
        <v>20</v>
      </c>
      <c r="H34" s="18" t="s">
        <v>147</v>
      </c>
      <c r="I34" s="18" t="s">
        <v>98</v>
      </c>
      <c r="J34" s="8" t="s">
        <v>90</v>
      </c>
      <c r="K34" s="4" t="s">
        <v>177</v>
      </c>
      <c r="L34" s="8"/>
      <c r="M34" s="5" t="s">
        <v>91</v>
      </c>
      <c r="N34" s="6" t="s">
        <v>92</v>
      </c>
      <c r="O34" s="6" t="s">
        <v>148</v>
      </c>
      <c r="T34" s="14">
        <v>46260</v>
      </c>
      <c r="U34" s="14">
        <v>46260</v>
      </c>
    </row>
    <row r="35" spans="1:21" x14ac:dyDescent="0.3">
      <c r="A35" s="17" t="s">
        <v>146</v>
      </c>
      <c r="B35" s="17" t="s">
        <v>17</v>
      </c>
      <c r="C35" s="18" t="s">
        <v>25</v>
      </c>
      <c r="D35" s="17" t="s">
        <v>26</v>
      </c>
      <c r="E35" s="17" t="s">
        <v>19</v>
      </c>
      <c r="F35" s="19">
        <v>46259</v>
      </c>
      <c r="G35" s="17" t="s">
        <v>20</v>
      </c>
      <c r="H35" s="18" t="s">
        <v>147</v>
      </c>
      <c r="I35" s="18" t="s">
        <v>98</v>
      </c>
      <c r="J35" s="8" t="s">
        <v>90</v>
      </c>
      <c r="K35" s="4" t="s">
        <v>177</v>
      </c>
      <c r="L35" s="8"/>
      <c r="M35" s="2" t="s">
        <v>91</v>
      </c>
      <c r="N35" s="3" t="s">
        <v>92</v>
      </c>
      <c r="O35" s="3" t="s">
        <v>149</v>
      </c>
      <c r="T35" s="14">
        <v>46260</v>
      </c>
      <c r="U35" s="14">
        <v>46260</v>
      </c>
    </row>
    <row r="36" spans="1:21" x14ac:dyDescent="0.3">
      <c r="A36" s="17" t="s">
        <v>146</v>
      </c>
      <c r="B36" s="17" t="s">
        <v>17</v>
      </c>
      <c r="C36" s="18" t="s">
        <v>25</v>
      </c>
      <c r="D36" s="17" t="s">
        <v>26</v>
      </c>
      <c r="E36" s="17" t="s">
        <v>19</v>
      </c>
      <c r="F36" s="19">
        <v>46259</v>
      </c>
      <c r="G36" s="17" t="s">
        <v>20</v>
      </c>
      <c r="H36" s="18" t="s">
        <v>147</v>
      </c>
      <c r="I36" s="18" t="s">
        <v>98</v>
      </c>
      <c r="J36" s="8" t="s">
        <v>90</v>
      </c>
      <c r="K36" s="4" t="s">
        <v>177</v>
      </c>
      <c r="L36" s="8"/>
      <c r="M36" s="5" t="s">
        <v>91</v>
      </c>
      <c r="N36" s="6" t="s">
        <v>92</v>
      </c>
      <c r="O36" s="6" t="s">
        <v>150</v>
      </c>
      <c r="T36" s="14">
        <v>46260</v>
      </c>
      <c r="U36" s="14">
        <v>46260</v>
      </c>
    </row>
    <row r="37" spans="1:21" x14ac:dyDescent="0.3">
      <c r="A37" s="17" t="s">
        <v>146</v>
      </c>
      <c r="B37" s="17" t="s">
        <v>17</v>
      </c>
      <c r="C37" s="18" t="s">
        <v>25</v>
      </c>
      <c r="D37" s="17" t="s">
        <v>26</v>
      </c>
      <c r="E37" s="17" t="s">
        <v>19</v>
      </c>
      <c r="F37" s="19">
        <v>46259</v>
      </c>
      <c r="G37" s="17" t="s">
        <v>20</v>
      </c>
      <c r="H37" s="18" t="s">
        <v>147</v>
      </c>
      <c r="I37" s="18" t="s">
        <v>98</v>
      </c>
      <c r="J37" s="8" t="s">
        <v>90</v>
      </c>
      <c r="K37" s="4" t="s">
        <v>177</v>
      </c>
      <c r="L37" s="8"/>
      <c r="M37" s="2" t="s">
        <v>91</v>
      </c>
      <c r="N37" s="3" t="s">
        <v>92</v>
      </c>
      <c r="O37" s="3" t="s">
        <v>151</v>
      </c>
      <c r="T37" s="14">
        <v>46260</v>
      </c>
      <c r="U37" s="14">
        <v>46260</v>
      </c>
    </row>
    <row r="38" spans="1:21" x14ac:dyDescent="0.3">
      <c r="A38" s="17" t="s">
        <v>146</v>
      </c>
      <c r="B38" s="17" t="s">
        <v>17</v>
      </c>
      <c r="C38" s="18" t="s">
        <v>25</v>
      </c>
      <c r="D38" s="17" t="s">
        <v>26</v>
      </c>
      <c r="E38" s="17" t="s">
        <v>19</v>
      </c>
      <c r="F38" s="19">
        <v>46259</v>
      </c>
      <c r="G38" s="20" t="s">
        <v>20</v>
      </c>
      <c r="H38" s="18" t="s">
        <v>147</v>
      </c>
      <c r="I38" s="18" t="s">
        <v>98</v>
      </c>
      <c r="J38" s="8" t="s">
        <v>90</v>
      </c>
      <c r="K38" s="4" t="s">
        <v>177</v>
      </c>
      <c r="L38" s="8"/>
      <c r="M38" s="5" t="s">
        <v>91</v>
      </c>
      <c r="N38" s="6" t="s">
        <v>92</v>
      </c>
      <c r="O38" s="6" t="s">
        <v>152</v>
      </c>
      <c r="T38" s="14">
        <v>46260</v>
      </c>
      <c r="U38" s="14">
        <v>46260</v>
      </c>
    </row>
    <row r="39" spans="1:21" x14ac:dyDescent="0.3">
      <c r="A39" s="17" t="s">
        <v>146</v>
      </c>
      <c r="B39" s="17" t="s">
        <v>17</v>
      </c>
      <c r="C39" s="18" t="s">
        <v>25</v>
      </c>
      <c r="D39" s="17" t="s">
        <v>26</v>
      </c>
      <c r="E39" s="17" t="s">
        <v>19</v>
      </c>
      <c r="F39" s="19">
        <v>46259</v>
      </c>
      <c r="G39" s="17" t="s">
        <v>20</v>
      </c>
      <c r="H39" s="18" t="s">
        <v>147</v>
      </c>
      <c r="I39" s="18" t="s">
        <v>98</v>
      </c>
      <c r="J39" s="8" t="s">
        <v>90</v>
      </c>
      <c r="K39" s="4" t="s">
        <v>177</v>
      </c>
      <c r="L39" s="8"/>
      <c r="M39" s="2" t="s">
        <v>91</v>
      </c>
      <c r="N39" s="3" t="s">
        <v>92</v>
      </c>
      <c r="O39" s="3" t="s">
        <v>153</v>
      </c>
      <c r="T39" s="14">
        <v>46260</v>
      </c>
      <c r="U39" s="14">
        <v>46260</v>
      </c>
    </row>
    <row r="40" spans="1:21" x14ac:dyDescent="0.3">
      <c r="A40" s="17" t="s">
        <v>146</v>
      </c>
      <c r="B40" s="17" t="s">
        <v>17</v>
      </c>
      <c r="C40" s="18" t="s">
        <v>25</v>
      </c>
      <c r="D40" s="17" t="s">
        <v>26</v>
      </c>
      <c r="E40" s="17" t="s">
        <v>19</v>
      </c>
      <c r="F40" s="19">
        <v>46259</v>
      </c>
      <c r="G40" s="17" t="s">
        <v>20</v>
      </c>
      <c r="H40" s="18" t="s">
        <v>147</v>
      </c>
      <c r="I40" s="18" t="s">
        <v>98</v>
      </c>
      <c r="J40" s="8" t="s">
        <v>90</v>
      </c>
      <c r="K40" s="4" t="s">
        <v>177</v>
      </c>
      <c r="L40" s="8"/>
      <c r="M40" s="5" t="s">
        <v>91</v>
      </c>
      <c r="N40" s="6" t="s">
        <v>92</v>
      </c>
      <c r="O40" s="6" t="s">
        <v>154</v>
      </c>
      <c r="T40" s="14">
        <v>46260</v>
      </c>
      <c r="U40" s="14">
        <v>46260</v>
      </c>
    </row>
    <row r="41" spans="1:21" x14ac:dyDescent="0.3">
      <c r="A41" s="17" t="s">
        <v>146</v>
      </c>
      <c r="B41" s="17" t="s">
        <v>17</v>
      </c>
      <c r="C41" s="18" t="s">
        <v>25</v>
      </c>
      <c r="D41" s="17" t="s">
        <v>26</v>
      </c>
      <c r="E41" s="17" t="s">
        <v>19</v>
      </c>
      <c r="F41" s="19">
        <v>46259</v>
      </c>
      <c r="G41" s="17" t="s">
        <v>20</v>
      </c>
      <c r="H41" s="18" t="s">
        <v>147</v>
      </c>
      <c r="I41" s="18" t="s">
        <v>98</v>
      </c>
      <c r="J41" s="8" t="s">
        <v>90</v>
      </c>
      <c r="K41" s="4" t="s">
        <v>177</v>
      </c>
      <c r="L41" s="8"/>
      <c r="M41" s="2" t="s">
        <v>91</v>
      </c>
      <c r="N41" s="3" t="s">
        <v>92</v>
      </c>
      <c r="O41" s="3" t="s">
        <v>155</v>
      </c>
      <c r="T41" s="14">
        <v>46260</v>
      </c>
      <c r="U41" s="14">
        <v>46260</v>
      </c>
    </row>
    <row r="42" spans="1:21" x14ac:dyDescent="0.3">
      <c r="A42" s="17" t="s">
        <v>146</v>
      </c>
      <c r="B42" s="17" t="s">
        <v>17</v>
      </c>
      <c r="C42" s="18" t="s">
        <v>25</v>
      </c>
      <c r="D42" s="17" t="s">
        <v>26</v>
      </c>
      <c r="E42" s="17" t="s">
        <v>19</v>
      </c>
      <c r="F42" s="19">
        <v>46259</v>
      </c>
      <c r="G42" s="17" t="s">
        <v>20</v>
      </c>
      <c r="H42" s="18" t="s">
        <v>147</v>
      </c>
      <c r="I42" s="18" t="s">
        <v>98</v>
      </c>
      <c r="J42" s="8" t="s">
        <v>90</v>
      </c>
      <c r="K42" s="4" t="s">
        <v>177</v>
      </c>
      <c r="L42" s="8"/>
      <c r="M42" s="5" t="s">
        <v>91</v>
      </c>
      <c r="N42" s="6" t="s">
        <v>92</v>
      </c>
      <c r="O42" s="6" t="s">
        <v>156</v>
      </c>
      <c r="T42" s="14">
        <v>46260</v>
      </c>
      <c r="U42" s="14">
        <v>46260</v>
      </c>
    </row>
    <row r="43" spans="1:21" x14ac:dyDescent="0.3">
      <c r="A43" s="17" t="s">
        <v>146</v>
      </c>
      <c r="B43" s="17" t="s">
        <v>17</v>
      </c>
      <c r="C43" s="18" t="s">
        <v>25</v>
      </c>
      <c r="D43" s="17" t="s">
        <v>26</v>
      </c>
      <c r="E43" s="17" t="s">
        <v>19</v>
      </c>
      <c r="F43" s="19">
        <v>46259</v>
      </c>
      <c r="G43" s="17" t="s">
        <v>20</v>
      </c>
      <c r="H43" s="18" t="s">
        <v>147</v>
      </c>
      <c r="I43" s="18" t="s">
        <v>98</v>
      </c>
      <c r="J43" s="8" t="s">
        <v>90</v>
      </c>
      <c r="K43" s="4" t="s">
        <v>177</v>
      </c>
      <c r="L43" s="8"/>
      <c r="M43" s="2" t="s">
        <v>91</v>
      </c>
      <c r="N43" s="3" t="s">
        <v>92</v>
      </c>
      <c r="O43" s="3" t="s">
        <v>157</v>
      </c>
      <c r="T43" s="14">
        <v>46260</v>
      </c>
      <c r="U43" s="14">
        <v>46260</v>
      </c>
    </row>
    <row r="44" spans="1:21" x14ac:dyDescent="0.3">
      <c r="A44" s="17" t="s">
        <v>158</v>
      </c>
      <c r="B44" s="17" t="s">
        <v>17</v>
      </c>
      <c r="C44" s="18" t="s">
        <v>36</v>
      </c>
      <c r="D44" s="17" t="s">
        <v>26</v>
      </c>
      <c r="E44" s="17" t="s">
        <v>19</v>
      </c>
      <c r="F44" s="19">
        <v>46259</v>
      </c>
      <c r="G44" s="17" t="s">
        <v>20</v>
      </c>
      <c r="H44" s="18" t="s">
        <v>81</v>
      </c>
      <c r="I44" s="18" t="s">
        <v>51</v>
      </c>
      <c r="J44" s="8" t="s">
        <v>93</v>
      </c>
      <c r="K44" s="4" t="s">
        <v>176</v>
      </c>
      <c r="L44" s="8"/>
      <c r="M44" s="5" t="s">
        <v>91</v>
      </c>
      <c r="N44" s="6" t="s">
        <v>92</v>
      </c>
      <c r="O44" s="6" t="s">
        <v>159</v>
      </c>
      <c r="T44" s="14">
        <v>46260</v>
      </c>
      <c r="U44" s="14">
        <v>46260</v>
      </c>
    </row>
    <row r="45" spans="1:21" x14ac:dyDescent="0.3">
      <c r="A45" s="17">
        <v>40306</v>
      </c>
      <c r="B45" s="17" t="s">
        <v>45</v>
      </c>
      <c r="C45" s="18" t="s">
        <v>30</v>
      </c>
      <c r="D45" s="17" t="s">
        <v>26</v>
      </c>
      <c r="E45" s="17" t="s">
        <v>19</v>
      </c>
      <c r="F45" s="19">
        <v>46258</v>
      </c>
      <c r="G45" s="17" t="s">
        <v>20</v>
      </c>
      <c r="H45" s="18" t="s">
        <v>46</v>
      </c>
      <c r="I45" s="18" t="s">
        <v>47</v>
      </c>
      <c r="J45" s="7" t="s">
        <v>48</v>
      </c>
      <c r="K45" s="4" t="s">
        <v>174</v>
      </c>
      <c r="L45" s="7"/>
      <c r="M45" s="2" t="s">
        <v>44</v>
      </c>
      <c r="N45" s="3" t="s">
        <v>34</v>
      </c>
      <c r="O45" s="3" t="s">
        <v>49</v>
      </c>
      <c r="T45" s="14">
        <v>46260</v>
      </c>
      <c r="U45" s="14">
        <v>46260</v>
      </c>
    </row>
    <row r="46" spans="1:21" x14ac:dyDescent="0.3">
      <c r="A46" s="17">
        <v>40307</v>
      </c>
      <c r="B46" s="17" t="s">
        <v>17</v>
      </c>
      <c r="C46" s="18" t="s">
        <v>30</v>
      </c>
      <c r="D46" s="17" t="s">
        <v>26</v>
      </c>
      <c r="E46" s="17" t="s">
        <v>19</v>
      </c>
      <c r="F46" s="19">
        <v>46258</v>
      </c>
      <c r="G46" s="17" t="s">
        <v>20</v>
      </c>
      <c r="H46" s="18" t="s">
        <v>50</v>
      </c>
      <c r="I46" s="18" t="s">
        <v>51</v>
      </c>
      <c r="J46" s="7" t="s">
        <v>52</v>
      </c>
      <c r="K46" s="4" t="s">
        <v>174</v>
      </c>
      <c r="L46" s="7"/>
      <c r="M46" s="5" t="s">
        <v>44</v>
      </c>
      <c r="N46" s="6" t="s">
        <v>34</v>
      </c>
      <c r="O46" s="6" t="s">
        <v>53</v>
      </c>
      <c r="T46" s="14">
        <v>46260</v>
      </c>
      <c r="U46" s="14">
        <v>46260</v>
      </c>
    </row>
    <row r="47" spans="1:21" x14ac:dyDescent="0.3">
      <c r="A47" s="17">
        <v>40307</v>
      </c>
      <c r="B47" s="17" t="s">
        <v>17</v>
      </c>
      <c r="C47" s="18" t="s">
        <v>30</v>
      </c>
      <c r="D47" s="17" t="s">
        <v>26</v>
      </c>
      <c r="E47" s="17" t="s">
        <v>19</v>
      </c>
      <c r="F47" s="19">
        <v>46258</v>
      </c>
      <c r="G47" s="17" t="s">
        <v>20</v>
      </c>
      <c r="H47" s="18" t="s">
        <v>50</v>
      </c>
      <c r="I47" s="18" t="s">
        <v>51</v>
      </c>
      <c r="J47" s="7" t="s">
        <v>71</v>
      </c>
      <c r="K47" s="4" t="s">
        <v>174</v>
      </c>
      <c r="L47" s="7"/>
      <c r="M47" s="2" t="s">
        <v>44</v>
      </c>
      <c r="N47" s="3" t="s">
        <v>34</v>
      </c>
      <c r="O47" s="3" t="s">
        <v>53</v>
      </c>
      <c r="T47" s="14">
        <v>46260</v>
      </c>
      <c r="U47" s="14">
        <v>46260</v>
      </c>
    </row>
    <row r="48" spans="1:21" x14ac:dyDescent="0.3">
      <c r="A48" s="17">
        <v>40307</v>
      </c>
      <c r="B48" s="17" t="s">
        <v>17</v>
      </c>
      <c r="C48" s="18" t="s">
        <v>30</v>
      </c>
      <c r="D48" s="17" t="s">
        <v>26</v>
      </c>
      <c r="E48" s="17" t="s">
        <v>19</v>
      </c>
      <c r="F48" s="19">
        <v>46258</v>
      </c>
      <c r="G48" s="17" t="s">
        <v>20</v>
      </c>
      <c r="H48" s="18" t="s">
        <v>50</v>
      </c>
      <c r="I48" s="18" t="s">
        <v>51</v>
      </c>
      <c r="J48" s="7" t="s">
        <v>84</v>
      </c>
      <c r="K48" s="4" t="s">
        <v>174</v>
      </c>
      <c r="L48" s="7"/>
      <c r="M48" s="2" t="s">
        <v>44</v>
      </c>
      <c r="N48" s="3" t="s">
        <v>34</v>
      </c>
      <c r="O48" s="3" t="s">
        <v>53</v>
      </c>
      <c r="T48" s="14">
        <v>46260</v>
      </c>
      <c r="U48" s="14">
        <v>46260</v>
      </c>
    </row>
    <row r="49" spans="1:21" x14ac:dyDescent="0.3">
      <c r="A49" s="17" t="s">
        <v>160</v>
      </c>
      <c r="B49" s="17" t="s">
        <v>17</v>
      </c>
      <c r="C49" s="18" t="s">
        <v>30</v>
      </c>
      <c r="D49" s="17" t="s">
        <v>26</v>
      </c>
      <c r="E49" s="17" t="s">
        <v>19</v>
      </c>
      <c r="F49" s="19">
        <v>46259</v>
      </c>
      <c r="G49" s="17" t="s">
        <v>20</v>
      </c>
      <c r="H49" s="18" t="s">
        <v>96</v>
      </c>
      <c r="I49" s="18" t="s">
        <v>54</v>
      </c>
      <c r="J49" s="8" t="s">
        <v>93</v>
      </c>
      <c r="K49" s="4" t="s">
        <v>178</v>
      </c>
      <c r="L49" s="8"/>
      <c r="M49" s="2" t="s">
        <v>91</v>
      </c>
      <c r="N49" s="3" t="s">
        <v>92</v>
      </c>
      <c r="O49" s="3" t="s">
        <v>132</v>
      </c>
      <c r="T49" s="14">
        <v>46260</v>
      </c>
      <c r="U49" s="14">
        <v>46260</v>
      </c>
    </row>
    <row r="50" spans="1:21" x14ac:dyDescent="0.3">
      <c r="A50" s="17" t="s">
        <v>160</v>
      </c>
      <c r="B50" s="17" t="s">
        <v>17</v>
      </c>
      <c r="C50" s="18" t="s">
        <v>30</v>
      </c>
      <c r="D50" s="17" t="s">
        <v>26</v>
      </c>
      <c r="E50" s="17" t="s">
        <v>19</v>
      </c>
      <c r="F50" s="19">
        <v>46259</v>
      </c>
      <c r="G50" s="17" t="s">
        <v>20</v>
      </c>
      <c r="H50" s="18" t="s">
        <v>96</v>
      </c>
      <c r="I50" s="18" t="s">
        <v>54</v>
      </c>
      <c r="J50" s="8" t="s">
        <v>93</v>
      </c>
      <c r="K50" s="4" t="s">
        <v>178</v>
      </c>
      <c r="L50" s="8"/>
      <c r="M50" s="5" t="s">
        <v>91</v>
      </c>
      <c r="N50" s="6" t="s">
        <v>92</v>
      </c>
      <c r="O50" s="6" t="s">
        <v>161</v>
      </c>
      <c r="T50" s="14">
        <v>46260</v>
      </c>
      <c r="U50" s="14">
        <v>46260</v>
      </c>
    </row>
    <row r="51" spans="1:21" x14ac:dyDescent="0.3">
      <c r="A51" s="17" t="s">
        <v>160</v>
      </c>
      <c r="B51" s="17" t="s">
        <v>17</v>
      </c>
      <c r="C51" s="18" t="s">
        <v>30</v>
      </c>
      <c r="D51" s="17" t="s">
        <v>26</v>
      </c>
      <c r="E51" s="17" t="s">
        <v>19</v>
      </c>
      <c r="F51" s="19">
        <v>46259</v>
      </c>
      <c r="G51" s="17" t="s">
        <v>20</v>
      </c>
      <c r="H51" s="18" t="s">
        <v>96</v>
      </c>
      <c r="I51" s="18" t="s">
        <v>54</v>
      </c>
      <c r="J51" s="8" t="s">
        <v>93</v>
      </c>
      <c r="K51" s="4" t="s">
        <v>178</v>
      </c>
      <c r="L51" s="8"/>
      <c r="M51" s="2" t="s">
        <v>91</v>
      </c>
      <c r="N51" s="3" t="s">
        <v>92</v>
      </c>
      <c r="O51" s="3" t="s">
        <v>113</v>
      </c>
      <c r="T51" s="14">
        <v>46260</v>
      </c>
      <c r="U51" s="14">
        <v>46260</v>
      </c>
    </row>
    <row r="52" spans="1:21" x14ac:dyDescent="0.3">
      <c r="A52" s="17">
        <v>40318</v>
      </c>
      <c r="B52" s="17" t="s">
        <v>61</v>
      </c>
      <c r="C52" s="18" t="s">
        <v>36</v>
      </c>
      <c r="D52" s="17" t="s">
        <v>18</v>
      </c>
      <c r="E52" s="17" t="s">
        <v>19</v>
      </c>
      <c r="F52" s="19">
        <v>46259</v>
      </c>
      <c r="G52" s="17" t="s">
        <v>20</v>
      </c>
      <c r="H52" s="18" t="s">
        <v>62</v>
      </c>
      <c r="I52" s="18" t="s">
        <v>63</v>
      </c>
      <c r="J52" s="4" t="s">
        <v>64</v>
      </c>
      <c r="K52" s="4" t="s">
        <v>175</v>
      </c>
      <c r="L52" s="4"/>
      <c r="M52" s="2" t="s">
        <v>22</v>
      </c>
      <c r="N52" s="3" t="s">
        <v>23</v>
      </c>
      <c r="O52" s="3" t="s">
        <v>24</v>
      </c>
      <c r="T52" s="14">
        <v>46260</v>
      </c>
      <c r="U52" s="14">
        <v>46260</v>
      </c>
    </row>
    <row r="53" spans="1:21" x14ac:dyDescent="0.3">
      <c r="A53" s="17" t="s">
        <v>162</v>
      </c>
      <c r="B53" s="17" t="s">
        <v>17</v>
      </c>
      <c r="C53" s="18" t="s">
        <v>36</v>
      </c>
      <c r="D53" s="17" t="s">
        <v>26</v>
      </c>
      <c r="E53" s="17" t="s">
        <v>19</v>
      </c>
      <c r="F53" s="19">
        <v>46259</v>
      </c>
      <c r="G53" s="17" t="s">
        <v>20</v>
      </c>
      <c r="H53" s="18" t="s">
        <v>163</v>
      </c>
      <c r="I53" s="18" t="s">
        <v>164</v>
      </c>
      <c r="J53" s="8" t="s">
        <v>90</v>
      </c>
      <c r="K53" s="4" t="s">
        <v>179</v>
      </c>
      <c r="L53" s="8"/>
      <c r="M53" s="5" t="s">
        <v>91</v>
      </c>
      <c r="N53" s="6" t="s">
        <v>92</v>
      </c>
      <c r="O53" s="6" t="s">
        <v>165</v>
      </c>
      <c r="T53" s="14">
        <v>46260</v>
      </c>
      <c r="U53" s="14">
        <v>46260</v>
      </c>
    </row>
    <row r="54" spans="1:21" x14ac:dyDescent="0.3">
      <c r="A54" s="17" t="s">
        <v>162</v>
      </c>
      <c r="B54" s="17" t="s">
        <v>17</v>
      </c>
      <c r="C54" s="18" t="s">
        <v>36</v>
      </c>
      <c r="D54" s="17" t="s">
        <v>26</v>
      </c>
      <c r="E54" s="17" t="s">
        <v>19</v>
      </c>
      <c r="F54" s="19">
        <v>46259</v>
      </c>
      <c r="G54" s="17" t="s">
        <v>20</v>
      </c>
      <c r="H54" s="18" t="s">
        <v>163</v>
      </c>
      <c r="I54" s="18" t="s">
        <v>164</v>
      </c>
      <c r="J54" s="8" t="s">
        <v>90</v>
      </c>
      <c r="K54" s="4" t="s">
        <v>179</v>
      </c>
      <c r="L54" s="8"/>
      <c r="M54" s="2" t="s">
        <v>91</v>
      </c>
      <c r="N54" s="3" t="s">
        <v>92</v>
      </c>
      <c r="O54" s="3" t="s">
        <v>166</v>
      </c>
      <c r="T54" s="14">
        <v>46260</v>
      </c>
      <c r="U54" s="14">
        <v>46260</v>
      </c>
    </row>
    <row r="55" spans="1:21" x14ac:dyDescent="0.3">
      <c r="A55" s="17" t="s">
        <v>167</v>
      </c>
      <c r="B55" s="17" t="s">
        <v>17</v>
      </c>
      <c r="C55" s="18" t="s">
        <v>36</v>
      </c>
      <c r="D55" s="17" t="s">
        <v>26</v>
      </c>
      <c r="E55" s="17" t="s">
        <v>19</v>
      </c>
      <c r="F55" s="19">
        <v>46259</v>
      </c>
      <c r="G55" s="17" t="s">
        <v>20</v>
      </c>
      <c r="H55" s="18" t="s">
        <v>168</v>
      </c>
      <c r="I55" s="18" t="s">
        <v>21</v>
      </c>
      <c r="J55" s="8" t="s">
        <v>93</v>
      </c>
      <c r="K55" s="4" t="s">
        <v>176</v>
      </c>
      <c r="L55" s="8"/>
      <c r="M55" s="5" t="s">
        <v>91</v>
      </c>
      <c r="N55" s="6" t="s">
        <v>92</v>
      </c>
      <c r="O55" s="6" t="s">
        <v>97</v>
      </c>
      <c r="T55" s="14">
        <v>46260</v>
      </c>
      <c r="U55" s="14">
        <v>46260</v>
      </c>
    </row>
  </sheetData>
  <autoFilter ref="A1:V55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Auditoría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2026-08-26T15:59:46Z</dcterms:created>
  <dcterms:modified xsi:type="dcterms:W3CDTF">2026-08-26T16:31:23Z</dcterms:modified>
  <cp:category/>
</cp:coreProperties>
</file>