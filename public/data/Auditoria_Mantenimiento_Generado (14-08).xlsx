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Auditoría" sheetId="1" r:id="rId1"/>
  </sheets>
  <externalReferences>
    <externalReference r:id="rId2"/>
  </externalReferences>
  <definedNames>
    <definedName name="_xlnm._FilterDatabase" localSheetId="0" hidden="1">Auditoría!$A$1:$V$94</definedName>
  </definedNames>
  <calcPr calcId="162913"/>
</workbook>
</file>

<file path=xl/calcChain.xml><?xml version="1.0" encoding="utf-8"?>
<calcChain xmlns="http://schemas.openxmlformats.org/spreadsheetml/2006/main">
  <c r="K90" i="1" l="1"/>
  <c r="K89" i="1"/>
  <c r="K86" i="1"/>
  <c r="K85" i="1"/>
  <c r="K84" i="1"/>
  <c r="K82" i="1"/>
  <c r="K81" i="1"/>
  <c r="K80" i="1"/>
  <c r="K79" i="1"/>
  <c r="K78" i="1"/>
  <c r="K77" i="1"/>
  <c r="K76" i="1"/>
  <c r="K75" i="1"/>
  <c r="K74" i="1"/>
  <c r="K73" i="1"/>
  <c r="K71" i="1"/>
  <c r="K69" i="1"/>
  <c r="K68" i="1"/>
  <c r="K67" i="1"/>
  <c r="K66" i="1"/>
  <c r="K65" i="1"/>
  <c r="K64" i="1"/>
  <c r="K63" i="1"/>
  <c r="K62" i="1"/>
  <c r="K61" i="1"/>
  <c r="K60" i="1"/>
  <c r="K58" i="1"/>
  <c r="K57" i="1"/>
  <c r="K56" i="1"/>
  <c r="K54" i="1"/>
  <c r="K53" i="1"/>
  <c r="K52" i="1"/>
  <c r="K51" i="1"/>
  <c r="K49" i="1"/>
  <c r="K48" i="1"/>
  <c r="K47" i="1"/>
  <c r="K45" i="1"/>
  <c r="K40" i="1"/>
  <c r="K39" i="1"/>
  <c r="K38" i="1"/>
  <c r="K35" i="1"/>
  <c r="K34" i="1"/>
  <c r="K33" i="1"/>
  <c r="K32" i="1"/>
  <c r="K31" i="1"/>
  <c r="K29" i="1"/>
  <c r="K25" i="1"/>
  <c r="K24" i="1"/>
  <c r="K20" i="1"/>
  <c r="K19" i="1"/>
  <c r="K18" i="1"/>
  <c r="K17" i="1"/>
  <c r="K16" i="1"/>
  <c r="K15" i="1"/>
  <c r="K14" i="1"/>
  <c r="K13" i="1"/>
  <c r="K10" i="1"/>
  <c r="K9" i="1"/>
  <c r="K5" i="1"/>
  <c r="K2" i="1"/>
</calcChain>
</file>

<file path=xl/sharedStrings.xml><?xml version="1.0" encoding="utf-8"?>
<sst xmlns="http://schemas.openxmlformats.org/spreadsheetml/2006/main" count="1097" uniqueCount="241">
  <si>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</si>
  <si>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</si>
  <si>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</si>
  <si>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</si>
  <si>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</si>
  <si>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</si>
  <si>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</si>
  <si>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</si>
  <si>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</si>
  <si>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</si>
  <si>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</si>
  <si>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</si>
  <si>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</si>
  <si>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</si>
  <si>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</si>
  <si>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</si>
  <si>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</si>
  <si>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</si>
  <si>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</si>
  <si>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Liberada</t>
  </si>
  <si>
    <t>No</t>
  </si>
  <si>
    <t>O</t>
  </si>
  <si>
    <t>FGV321</t>
  </si>
  <si>
    <t>1218</t>
  </si>
  <si>
    <t>Agregar Aceite</t>
  </si>
  <si>
    <t>Terminada</t>
  </si>
  <si>
    <t>3) Planificado sin Salida física (Salidas = 0)</t>
  </si>
  <si>
    <t>Materiales planificados con Salida Cero: GRASA 62 X 20 KG, LAMPARA 24V 21W - NEOLUX, ACEITE 15W40 XV300 X 205LT (TAMBOR)</t>
  </si>
  <si>
    <t>AD367PX</t>
  </si>
  <si>
    <t>S.A.P.3E.71</t>
  </si>
  <si>
    <t>Lubricar Carritos De Lonas Y Parantes</t>
  </si>
  <si>
    <t>No iniciada</t>
  </si>
  <si>
    <t>1) Orden sin repuestos asignados</t>
  </si>
  <si>
    <t>Ningún material cargado en la orden</t>
  </si>
  <si>
    <t>Cerrada</t>
  </si>
  <si>
    <t>FTHDCFW3</t>
  </si>
  <si>
    <t>ATEGO 1721</t>
  </si>
  <si>
    <t>Engrase tractor completo</t>
  </si>
  <si>
    <t>OIC419</t>
  </si>
  <si>
    <t>ATRON 1720</t>
  </si>
  <si>
    <t>Cambiar Lamparas 24V 5W Varias</t>
  </si>
  <si>
    <t>Materiales planificados con Salida Cero: FUSIBLE 10 AMP - GENROD, LAMPARA 24V 5W (S/CULOTE) - NEOLUX</t>
  </si>
  <si>
    <t>SRAF</t>
  </si>
  <si>
    <t>LFK337</t>
  </si>
  <si>
    <t>AXOR 2035</t>
  </si>
  <si>
    <t>Agregar liquido refrigerante</t>
  </si>
  <si>
    <t>Materiales planificados con Salida Cero: LIQUIDO REFRIGERANTE KRIOX INORGANICO X 1000LTS, ACEITE 15W40 XV300 X 205LT (TAMBOR)</t>
  </si>
  <si>
    <t>BRJ211</t>
  </si>
  <si>
    <t>710</t>
  </si>
  <si>
    <t>Cambiar Fusible 15 Amp</t>
  </si>
  <si>
    <t>Materiales planificados con Salida Cero: FUSIBLE 15 AMP - GENROD, RELAY 5 PATAS 12V</t>
  </si>
  <si>
    <t>KUF609</t>
  </si>
  <si>
    <t>AXOR 1933</t>
  </si>
  <si>
    <t>Cambiar sensor de presion de aceite</t>
  </si>
  <si>
    <t>Materiales planificados con Salida Cero: SENSOR DE PRESION DE ACEITE MB AXOR 1933 (A 011 153 92 28) ORIGINAL</t>
  </si>
  <si>
    <t>ATEGO 1725</t>
  </si>
  <si>
    <t>2) Falta material (IA)</t>
  </si>
  <si>
    <t>Tarea de lubricación sin material de grasa, aceite o refrigerante en la orden</t>
  </si>
  <si>
    <t>AF066NS</t>
  </si>
  <si>
    <t>TECTOR EVO 170E28</t>
  </si>
  <si>
    <t>Cambiar Rueda Completa C/Llanta Delantera Der</t>
  </si>
  <si>
    <t>Materiales planificados con Salida Cero: CUBIERTA LINEAL 275 R22.5 - FATE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</si>
  <si>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</si>
  <si>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</si>
  <si>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</si>
  <si>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</si>
  <si>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</si>
  <si>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Preventivo</t>
  </si>
  <si>
    <t>Cambio De Filtro Gas Oíl Y Trampa De Agua</t>
  </si>
  <si>
    <t>Materiales planificados con Salida Cero: FILTRO TRAMPA DE AGUA - WIX (WF 10288), FILTRO DE COMBUSTIBLE - MANN PU1046/1X</t>
  </si>
  <si>
    <t>AF461DA</t>
  </si>
  <si>
    <t>PALETERO S.PA.3E.71 2+1</t>
  </si>
  <si>
    <t>Cambiar Fusible 10 Amp</t>
  </si>
  <si>
    <t>Materiales planificados con Salida Cero: FUSIBLE 10 AMP - GENROD</t>
  </si>
  <si>
    <t>AF118QB</t>
  </si>
  <si>
    <t>ATEGO 1729</t>
  </si>
  <si>
    <t>KDG188</t>
  </si>
  <si>
    <t>1318</t>
  </si>
  <si>
    <t>1624</t>
  </si>
  <si>
    <t>MQU466</t>
  </si>
  <si>
    <t>SCANIA P360 A6X2</t>
  </si>
  <si>
    <t>Cambiar junta de compresor de aire</t>
  </si>
  <si>
    <t>AF114FZ</t>
  </si>
  <si>
    <t>Materiales planificados con Salida Cero: LAMPARA 24V 5W (S/CULOTE)</t>
  </si>
  <si>
    <t>IBB073</t>
  </si>
  <si>
    <t>S PA 3E 71</t>
  </si>
  <si>
    <t>Engrase Completo</t>
  </si>
  <si>
    <t>1620</t>
  </si>
  <si>
    <t>AD426IJ</t>
  </si>
  <si>
    <t>AXOR 2541</t>
  </si>
  <si>
    <t>Limpieza y Engrase de Plato</t>
  </si>
  <si>
    <t>AF371BG</t>
  </si>
  <si>
    <t>Cambiar Faro Trasero</t>
  </si>
  <si>
    <t>Colocar inyectores y bomba inyectora</t>
  </si>
  <si>
    <t>AB320YW</t>
  </si>
  <si>
    <t>ATEGO 2426</t>
  </si>
  <si>
    <t>Cambiar Lamparas 24V 21/5w Varias</t>
  </si>
  <si>
    <t>Materiales planificados con Salida Cero: LAMPARA 24V 21W</t>
  </si>
  <si>
    <t>Engraso Plato</t>
  </si>
  <si>
    <t>Materiales planificados con Salida Cero: FARO TRAS DER MB 2035 AXOR (A 002 544 12 90) - MARSTECH, LIQUIDO REFRIGERANTE KRIOX INORGANICO X 1000LTS</t>
  </si>
  <si>
    <t>AD426HY</t>
  </si>
  <si>
    <t>OHH591</t>
  </si>
  <si>
    <t>Auxilios</t>
  </si>
  <si>
    <t>Cambiar lampara h3 24v</t>
  </si>
  <si>
    <t>AF371BH</t>
  </si>
  <si>
    <t>Cambiar Faro Led 1010E</t>
  </si>
  <si>
    <t>Materiales planificados con Salida Cero: BALDE GRASA LUBRIGON X 20 KG, FARO LED COMPLETO (C/FICHA) BAIML 1010E (AMBAR)</t>
  </si>
  <si>
    <t>OJG098</t>
  </si>
  <si>
    <t>Cambiar lampara 5w 24v</t>
  </si>
  <si>
    <t>G310</t>
  </si>
  <si>
    <t>AF066NZ</t>
  </si>
  <si>
    <t>Agregar Aceite (Tractor)</t>
  </si>
  <si>
    <t>AF642OU</t>
  </si>
  <si>
    <t>Colocar Llave de 1 Punto</t>
  </si>
  <si>
    <t>Materiales planificados con Salida Cero: LLAVE 1 PUNTO T/M. BENZ</t>
  </si>
  <si>
    <t>AD426HX</t>
  </si>
  <si>
    <t>Cambiar comando levanta vidrio</t>
  </si>
  <si>
    <t>Lubricar Guia De Lona y Regulo</t>
  </si>
  <si>
    <t>FQT894</t>
  </si>
  <si>
    <t>Cambiar bombin de embrague</t>
  </si>
  <si>
    <t>Materiales planificados con Salida Cero: BOMBIN INFERIOR DE EMBRAGUE MB 1620 (A 386 295 72 07) - TRW</t>
  </si>
  <si>
    <t>AF613YX</t>
  </si>
  <si>
    <t>AF743LB</t>
  </si>
  <si>
    <t>Cambiar filtro de aire</t>
  </si>
  <si>
    <t>Materiales planificados con Salida Cero: FILTRO DE AIRE MB 2426/AXOR 1933 - MANN C28 1012</t>
  </si>
  <si>
    <t>OAF643</t>
  </si>
  <si>
    <t>Material de lubricante planificado con Salida Cero: GRASA 62 X 20 KG, ACEITE 15W40 XV300 X 205LT (TAMBOR)</t>
  </si>
  <si>
    <t>Cambiar Cubierta 3II</t>
  </si>
  <si>
    <t>ESTRUCTURA BA</t>
  </si>
  <si>
    <t>ESTRUCTURA BUENOS AIRES</t>
  </si>
  <si>
    <t>OAF635</t>
  </si>
  <si>
    <t>16-BDAS. VOLC. 3 EJES</t>
  </si>
  <si>
    <t>Cambiar relay</t>
  </si>
  <si>
    <t>Material de lubricante planificado con Salida Cero: SENSOR DE PRESION DE ACEITE MB AXOR 1933 (A 011 153 92 28) ORIGINAL</t>
  </si>
  <si>
    <t>Cambiar lamparas</t>
  </si>
  <si>
    <t>Cambio De Aceite De Motor Y Filtro Aceite</t>
  </si>
  <si>
    <t>Materiales planificados con Salida Cero: FILTRO DE ACEITE 6 CILINDROS MB 1725/1726/1933/1624L/1721 OF ELECTRONICO - MANN HU 945/2x, ACEITE 15W40 XV300 X 205LT (TAMBOR)</t>
  </si>
  <si>
    <t>OJG064</t>
  </si>
  <si>
    <t>AD426IH</t>
  </si>
  <si>
    <t>Materiales planificados con Salida Cero: ACEITE 15W40 XV300 X 205LT (TAMBOR), FILTRO DE ACEITE MB AXOR 2036/2035 - MANN HU 12 110X</t>
  </si>
  <si>
    <t>Materiales planificados con Salida Cero: FILTRO DE AIRE - MANN C 271320/1</t>
  </si>
  <si>
    <t>AG095MQ</t>
  </si>
  <si>
    <t>Cambio Fusible</t>
  </si>
  <si>
    <t>LTS288</t>
  </si>
  <si>
    <t>Material de lubricante planificado con Salida Cero: GRASA DE LITIO x 180KG</t>
  </si>
  <si>
    <t>Cambiar Espejo Lado Der</t>
  </si>
  <si>
    <t>AE700VS</t>
  </si>
  <si>
    <t>AXOR 2036</t>
  </si>
  <si>
    <t>KMF921</t>
  </si>
  <si>
    <t>Materiales planificados con Salida Cero: ACOPLE RAPIDO RECTO DE 8MM, ACOPLE RÁPIDO RECTO DE 6MM (UNIVERSAL), BALDE GRASA LUBRIGON X 20 KG, ALAMBRE DULCE N°14 DE 2MM X KG, LAMPARA 24V 5W (C/CULOTE) - NEOLUX</t>
  </si>
  <si>
    <t>Materiales planificados con Salida Cero: FILTRO DE COMBUSTIBLE MANN PU999/1X, FILTRO TRAMPA DE AGUA MB 1933S (A 000 470 24 90) - RE160JQII - MARCA RAMA</t>
  </si>
  <si>
    <t>OHH597</t>
  </si>
  <si>
    <t>AE812EN</t>
  </si>
  <si>
    <t>SCANIA P410 A6X2</t>
  </si>
  <si>
    <t>Cambiar ruleman de rueda trasera izquierda</t>
  </si>
  <si>
    <t>Coloco Barreros 1/2 Uso</t>
  </si>
  <si>
    <t>Cambiar Cubierta 3DE</t>
  </si>
  <si>
    <t>AF444TW</t>
  </si>
  <si>
    <t>IDX163</t>
  </si>
  <si>
    <t>Colocar Bombin de Embrague</t>
  </si>
  <si>
    <t>AD426HT</t>
  </si>
  <si>
    <t>Materiales planificados con Salida Cero: LIQUIDO REFRIGERANTE KRIOX INORGANICO X 1000LTS</t>
  </si>
  <si>
    <t>JHD034</t>
  </si>
  <si>
    <t>Cambio Lampara de Posicion</t>
  </si>
  <si>
    <t>Cambiar Bulbo de Presión de Aceite</t>
  </si>
  <si>
    <t>OAF642</t>
  </si>
  <si>
    <t>AF613YZ</t>
  </si>
  <si>
    <t>Material de lubricante planificado con Salida Cero: GRASA 62 X 20 KG</t>
  </si>
  <si>
    <t>Engrase Completo Semi</t>
  </si>
  <si>
    <t>Cambio Acople y Manguera Espiralada de Aire</t>
  </si>
  <si>
    <t>Engrasar Carritos de Lona</t>
  </si>
  <si>
    <t>Cambiar Faro Trasero Izq.</t>
  </si>
  <si>
    <t>Material de lubricante planificado con Salida Cero: BALDE GRASA LUBRIGON X 20 KG</t>
  </si>
  <si>
    <t>OAF640</t>
  </si>
  <si>
    <t>Cambiar Cubiertas 1/2 USO 2DE / 2DI Desarme y Arme</t>
  </si>
  <si>
    <t>Colocar Carteles a Rack de Pañol</t>
  </si>
  <si>
    <t>Múltiples repuestos</t>
  </si>
  <si>
    <t>Revisión</t>
  </si>
  <si>
    <t>5) Materiales Repetidos</t>
  </si>
  <si>
    <t>Se cargó el mismo repuesto varias veces en la orden: 'LAMPARA 24V 5W (S/CULOTE) - NEOLUX' (2 veces). Revisar posibles duplicados.</t>
  </si>
  <si>
    <t>38386</t>
  </si>
  <si>
    <t>GTE287</t>
  </si>
  <si>
    <t>38600</t>
  </si>
  <si>
    <t>AF461DB</t>
  </si>
  <si>
    <t>Se cargó el mismo repuesto varias veces en la orden: 'REMACHE POP ALUMINIO DE 5MM DIAMETRO X 20MM LARGO' (2 veces). Revisar posibles duplicados.</t>
  </si>
  <si>
    <t>Sin tarea asociada</t>
  </si>
  <si>
    <t>N/A</t>
  </si>
  <si>
    <t>4) Repuesto sin tarea (IA)</t>
  </si>
  <si>
    <t>Sin tarea que requiera material</t>
  </si>
  <si>
    <t>AD426HW</t>
  </si>
  <si>
    <t>Insumo</t>
  </si>
  <si>
    <t>Material "REMACHE POP ALUMINIO DE 5MM DIAMETRO X 20MM LARGO" (Salidas: 20) no coincide con ninguna tarea de la orden</t>
  </si>
  <si>
    <t>38557</t>
  </si>
  <si>
    <t>IDX164</t>
  </si>
  <si>
    <t>Material "RELAY DE LUCES INDICADORAS MB AXOR 1933 (A 003 544 61 32) ORIGINAL" (Salidas: 1) cargado pero ninguna tarea requiere material</t>
  </si>
  <si>
    <t>38597</t>
  </si>
  <si>
    <t>HRJ002</t>
  </si>
  <si>
    <t>Material "MICA BAIML 1035 COLOR CRISTAL (LED)" (Salidas: 2) cargado pero ninguna tarea requiere material</t>
  </si>
  <si>
    <t>Material "LAMPARA 24V 5W (C/CULOTE) - NEOLUX" (Salidas: 4) cargado pero ninguna tarea requiere material</t>
  </si>
  <si>
    <t>Material "FARO COLGANTE SIMPLE 1035/6" (Salidas: 4) cargado pero ninguna tarea requiere material</t>
  </si>
  <si>
    <t>Material "LAMPARA 24V PY21W" (Salidas: 6) cargado pero ninguna tarea requiere material</t>
  </si>
  <si>
    <t>Material "REMACHE POP ALUMINIO DE 5MM DIAMETRO X 20MM LARGO" (Salidas: 5) no coincide con ninguna tarea de la orden</t>
  </si>
  <si>
    <t>38608</t>
  </si>
  <si>
    <t>Material "ACOPLE RAPIDO RECTO DE 10MM" (Salidas: 1) no coincide con ninguna tarea de la orden</t>
  </si>
  <si>
    <t>38634</t>
  </si>
  <si>
    <t>Material "CATALIZADOR AKZONOBEL SIKKENS HARDENER P25 x 5 LTS" (Salidas: 1) no coincide con ninguna tarea de la orden</t>
  </si>
  <si>
    <t>Material "POLYFIBER SIKKENS X 1.5KG" (Salidas: 1) no coincide con ninguna tarea de la orden</t>
  </si>
  <si>
    <t>38970</t>
  </si>
  <si>
    <t>GKK500</t>
  </si>
  <si>
    <t>Material "ACOPLE RAPIDO RECTO DE 8MM" (Salidas: 1) no coincide con ninguna tarea de la orden</t>
  </si>
  <si>
    <t>38974</t>
  </si>
  <si>
    <t>HRJ003</t>
  </si>
  <si>
    <t>Material "SILOC FORMADOR DE JUNTA 8600 X 98GR" (Salidas: 1) no coincide con ninguna tarea de la orden</t>
  </si>
  <si>
    <t>38993</t>
  </si>
  <si>
    <t>AB696BS</t>
  </si>
  <si>
    <t>ATRON 1735 45</t>
  </si>
  <si>
    <t>Material "CAÑO POLIAMIDA TECALAN DE 10MM X MTS" (Salidas: 0.2) no coincide con ninguna tarea de la orden</t>
  </si>
  <si>
    <t>38996</t>
  </si>
  <si>
    <t>39000</t>
  </si>
  <si>
    <t>Material "CARRO ROMA 172 BL Ø38" (Salidas: 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</si>
  <si>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</si>
  <si>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</si>
  <si>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</si>
  <si>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</si>
  <si>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</si>
  <si>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39058</t>
  </si>
  <si>
    <t>GOX957</t>
  </si>
  <si>
    <t>Material "PASAMANOS PARA TECHO DE CAMION" (Salidas: 1) no coincide con ninguna tarea de la orden</t>
  </si>
  <si>
    <t>Material "DIAFRAGMA DE FRENO N°16 COPA ALTA - BINS" (Salidas: 1) no coincide con ninguna tarea de la orden</t>
  </si>
  <si>
    <t>Control</t>
  </si>
  <si>
    <t>Repuestas.</t>
  </si>
  <si>
    <t>Descarga</t>
  </si>
  <si>
    <t>Estados Control</t>
  </si>
  <si>
    <t>Estados OK</t>
  </si>
  <si>
    <t>Falta Consumo</t>
  </si>
  <si>
    <t>Ok</t>
  </si>
  <si>
    <t>Ok Contabilizar Si Corresponde</t>
  </si>
  <si>
    <t>Falta Tarea</t>
  </si>
  <si>
    <t>Falta Material (315)</t>
  </si>
  <si>
    <t>Falta Material</t>
  </si>
  <si>
    <t>Falta Tarea (Ver es estructura)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</si>
</sst>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ditoria_Mantenimiento_Generado%20(13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oría"/>
    </sheetNames>
    <sheetDataSet>
      <sheetData sheetId="0">
        <row r="2">
          <cell r="A2">
            <v>38993</v>
          </cell>
          <cell r="B2" t="str">
            <v>Auxilios</v>
          </cell>
          <cell r="C2" t="str">
            <v>MNZA</v>
          </cell>
          <cell r="D2" t="str">
            <v>Liberada</v>
          </cell>
          <cell r="E2" t="str">
            <v>No</v>
          </cell>
          <cell r="F2">
            <v>46244</v>
          </cell>
          <cell r="G2" t="str">
            <v>O</v>
          </cell>
          <cell r="H2" t="str">
            <v>AB696BS</v>
          </cell>
          <cell r="I2" t="str">
            <v>ATRON 1735 45</v>
          </cell>
          <cell r="J2" t="str">
            <v>Agregar liquido refrigerante</v>
          </cell>
          <cell r="K2" t="str">
            <v>Falta Consumo</v>
          </cell>
          <cell r="L2"/>
        </row>
        <row r="3">
          <cell r="A3">
            <v>39014</v>
          </cell>
          <cell r="B3" t="str">
            <v>Preventivo</v>
          </cell>
          <cell r="C3" t="str">
            <v>MNZA</v>
          </cell>
          <cell r="D3" t="str">
            <v>Liberada</v>
          </cell>
          <cell r="E3" t="str">
            <v>No</v>
          </cell>
          <cell r="F3">
            <v>46244</v>
          </cell>
          <cell r="G3" t="str">
            <v>O</v>
          </cell>
          <cell r="H3" t="str">
            <v>AF619YO</v>
          </cell>
          <cell r="I3" t="str">
            <v>PARTNER CONFORT 1.6 HDI 92 AM22 -FURGON-</v>
          </cell>
          <cell r="J3" t="str">
            <v>Cambiar lampara 5w 24v</v>
          </cell>
          <cell r="K3" t="str">
            <v>Falta Consumo</v>
          </cell>
          <cell r="L3"/>
        </row>
        <row r="4">
          <cell r="A4">
            <v>38431</v>
          </cell>
          <cell r="B4" t="str">
            <v>Correctivo</v>
          </cell>
          <cell r="C4" t="str">
            <v>SRAF</v>
          </cell>
          <cell r="D4" t="str">
            <v>Liberada</v>
          </cell>
          <cell r="E4" t="str">
            <v>No</v>
          </cell>
          <cell r="F4">
            <v>46237</v>
          </cell>
          <cell r="G4" t="str">
            <v>O</v>
          </cell>
          <cell r="H4" t="str">
            <v>LFK337</v>
          </cell>
          <cell r="I4" t="str">
            <v>AXOR 2035</v>
          </cell>
          <cell r="J4" t="str">
            <v>Agregar liquido refrigerante</v>
          </cell>
          <cell r="K4" t="str">
            <v>Falta Consumo</v>
          </cell>
          <cell r="L4"/>
        </row>
        <row r="5">
          <cell r="A5">
            <v>38943</v>
          </cell>
          <cell r="B5" t="str">
            <v>Correctivo</v>
          </cell>
          <cell r="C5" t="str">
            <v>CIUD</v>
          </cell>
          <cell r="D5" t="str">
            <v>Liberada</v>
          </cell>
          <cell r="E5" t="str">
            <v>No</v>
          </cell>
          <cell r="F5">
            <v>46239</v>
          </cell>
          <cell r="G5" t="str">
            <v>O</v>
          </cell>
          <cell r="H5" t="str">
            <v>AF722DN</v>
          </cell>
          <cell r="I5" t="str">
            <v>TECTOR EVO 170E28</v>
          </cell>
          <cell r="J5" t="str">
            <v>Cambiar lampara h7 24v</v>
          </cell>
          <cell r="K5" t="str">
            <v>Falta Consumo</v>
          </cell>
          <cell r="L5"/>
        </row>
        <row r="6">
          <cell r="A6">
            <v>39016</v>
          </cell>
          <cell r="B6" t="str">
            <v>Preventivo</v>
          </cell>
          <cell r="C6" t="str">
            <v>MNZA</v>
          </cell>
          <cell r="D6" t="str">
            <v>Liberada</v>
          </cell>
          <cell r="E6" t="str">
            <v>No</v>
          </cell>
          <cell r="F6">
            <v>46244</v>
          </cell>
          <cell r="G6" t="str">
            <v>O</v>
          </cell>
          <cell r="H6" t="str">
            <v>AF148MS</v>
          </cell>
          <cell r="I6" t="str">
            <v>AXOR 1933</v>
          </cell>
          <cell r="J6" t="str">
            <v>Cambio De Filtro Gas Oíl Y Trampa De Agua</v>
          </cell>
          <cell r="K6" t="str">
            <v>Falta Consumo</v>
          </cell>
          <cell r="L6"/>
        </row>
        <row r="7">
          <cell r="A7">
            <v>38411</v>
          </cell>
          <cell r="B7" t="str">
            <v>Correctivo</v>
          </cell>
          <cell r="C7" t="str">
            <v>MNZA</v>
          </cell>
          <cell r="D7" t="str">
            <v>Liberada</v>
          </cell>
          <cell r="E7" t="str">
            <v>No</v>
          </cell>
          <cell r="F7">
            <v>46236</v>
          </cell>
          <cell r="G7" t="str">
            <v>O</v>
          </cell>
          <cell r="H7" t="str">
            <v>LUW863</v>
          </cell>
          <cell r="I7" t="str">
            <v>ACOPLADO BARANDA VOLC. 3 EJES</v>
          </cell>
          <cell r="J7" t="str">
            <v>Cambiar Cubierta 3DI</v>
          </cell>
          <cell r="K7" t="str">
            <v>Falta Consumo</v>
          </cell>
          <cell r="L7"/>
        </row>
        <row r="8">
          <cell r="A8">
            <v>38532</v>
          </cell>
          <cell r="B8" t="str">
            <v>Preventivo</v>
          </cell>
          <cell r="C8" t="str">
            <v>SRAF</v>
          </cell>
          <cell r="D8" t="str">
            <v>Liberada</v>
          </cell>
          <cell r="E8" t="str">
            <v>No</v>
          </cell>
          <cell r="F8">
            <v>46236</v>
          </cell>
          <cell r="G8" t="str">
            <v>O</v>
          </cell>
          <cell r="H8" t="str">
            <v>KUF609</v>
          </cell>
          <cell r="I8" t="str">
            <v>AXOR 1933</v>
          </cell>
          <cell r="J8" t="str">
            <v>Cambio De Filtro Gas Oíl Y Trampa De Agua</v>
          </cell>
          <cell r="K8" t="str">
            <v>Falta Consumo</v>
          </cell>
          <cell r="L8"/>
        </row>
        <row r="9">
          <cell r="A9">
            <v>38931</v>
          </cell>
          <cell r="B9" t="str">
            <v>Correctivo</v>
          </cell>
          <cell r="C9" t="str">
            <v>CIUD</v>
          </cell>
          <cell r="D9" t="str">
            <v>Liberada</v>
          </cell>
          <cell r="E9" t="str">
            <v>No</v>
          </cell>
          <cell r="F9">
            <v>46240</v>
          </cell>
          <cell r="G9" t="str">
            <v>O</v>
          </cell>
          <cell r="H9" t="str">
            <v>HQM968</v>
          </cell>
          <cell r="I9" t="str">
            <v>1318</v>
          </cell>
          <cell r="J9" t="str">
            <v>Cambiar Hebilla De Cinto De Lona</v>
          </cell>
          <cell r="K9" t="str">
            <v>Falta Consumo</v>
          </cell>
          <cell r="L9"/>
        </row>
        <row r="10">
          <cell r="A10">
            <v>38936</v>
          </cell>
          <cell r="B10" t="str">
            <v>Correctivo</v>
          </cell>
          <cell r="C10" t="str">
            <v>CIUD</v>
          </cell>
          <cell r="D10" t="str">
            <v>Cerrada</v>
          </cell>
          <cell r="E10" t="str">
            <v>No</v>
          </cell>
          <cell r="F10">
            <v>46240</v>
          </cell>
          <cell r="G10" t="str">
            <v>O</v>
          </cell>
          <cell r="H10" t="str">
            <v>AD426IJ</v>
          </cell>
          <cell r="I10" t="str">
            <v>AXOR 2541</v>
          </cell>
          <cell r="J10" t="str">
            <v>Engraso Plato</v>
          </cell>
          <cell r="K10" t="str">
            <v>Falta Material (315)</v>
          </cell>
          <cell r="L10"/>
        </row>
        <row r="11">
          <cell r="A11">
            <v>39051</v>
          </cell>
          <cell r="B11" t="str">
            <v>Correctivo</v>
          </cell>
          <cell r="C11" t="str">
            <v>CIUD</v>
          </cell>
          <cell r="D11" t="str">
            <v>Liberada</v>
          </cell>
          <cell r="E11" t="str">
            <v>No</v>
          </cell>
          <cell r="F11">
            <v>46245</v>
          </cell>
          <cell r="G11" t="str">
            <v>O</v>
          </cell>
          <cell r="H11" t="str">
            <v>AF613YZ</v>
          </cell>
          <cell r="I11" t="str">
            <v>TECTOR EVO 170E28</v>
          </cell>
          <cell r="J11" t="str">
            <v>Cambio Tecla De Luz</v>
          </cell>
          <cell r="K11" t="str">
            <v>Falta Consumo</v>
          </cell>
          <cell r="L11"/>
        </row>
        <row r="12">
          <cell r="A12">
            <v>38772</v>
          </cell>
          <cell r="B12" t="str">
            <v>Correctivo</v>
          </cell>
          <cell r="C12" t="str">
            <v>CIUD</v>
          </cell>
          <cell r="D12" t="str">
            <v>Cerrada</v>
          </cell>
          <cell r="E12" t="str">
            <v>No</v>
          </cell>
          <cell r="F12">
            <v>46236</v>
          </cell>
          <cell r="G12" t="str">
            <v>O</v>
          </cell>
          <cell r="H12" t="str">
            <v>OHH597</v>
          </cell>
          <cell r="I12" t="str">
            <v>ATRON 1720</v>
          </cell>
          <cell r="J12" t="str">
            <v>Cambio Lampara de Posicion</v>
          </cell>
          <cell r="K12" t="str">
            <v>Falta Material</v>
          </cell>
          <cell r="L12"/>
        </row>
        <row r="13">
          <cell r="A13">
            <v>39010</v>
          </cell>
          <cell r="B13" t="str">
            <v>Correctivo</v>
          </cell>
          <cell r="C13" t="str">
            <v>SRAF</v>
          </cell>
          <cell r="D13" t="str">
            <v>Liberada</v>
          </cell>
          <cell r="E13" t="str">
            <v>No</v>
          </cell>
          <cell r="F13">
            <v>46244</v>
          </cell>
          <cell r="G13" t="str">
            <v>O</v>
          </cell>
          <cell r="H13" t="str">
            <v>IBB073</v>
          </cell>
          <cell r="I13" t="str">
            <v>S PA 3E 71</v>
          </cell>
          <cell r="J13" t="str">
            <v>Engrase Completo</v>
          </cell>
          <cell r="K13" t="str">
            <v>Falta Material</v>
          </cell>
          <cell r="L13"/>
        </row>
        <row r="14">
          <cell r="A14">
            <v>38534</v>
          </cell>
          <cell r="B14" t="str">
            <v>Correctivo</v>
          </cell>
          <cell r="C14" t="str">
            <v>SRAF</v>
          </cell>
          <cell r="D14" t="str">
            <v>Liberada</v>
          </cell>
          <cell r="E14" t="str">
            <v>No</v>
          </cell>
          <cell r="F14">
            <v>46238</v>
          </cell>
          <cell r="G14" t="str">
            <v>O</v>
          </cell>
          <cell r="H14" t="str">
            <v>MQU466</v>
          </cell>
          <cell r="I14" t="str">
            <v>SCANIA P360 A6X2</v>
          </cell>
          <cell r="J14" t="str">
            <v>Cambiar junta de compresor de aire</v>
          </cell>
          <cell r="K14" t="str">
            <v>Falta Material</v>
          </cell>
          <cell r="L14"/>
        </row>
        <row r="15">
          <cell r="A15">
            <v>39051</v>
          </cell>
          <cell r="B15" t="str">
            <v>Correctivo</v>
          </cell>
          <cell r="C15" t="str">
            <v>CIUD</v>
          </cell>
          <cell r="D15" t="str">
            <v>Liberada</v>
          </cell>
          <cell r="E15" t="str">
            <v>No</v>
          </cell>
          <cell r="F15">
            <v>46245</v>
          </cell>
          <cell r="G15" t="str">
            <v>O</v>
          </cell>
          <cell r="H15" t="str">
            <v>AF613YZ</v>
          </cell>
          <cell r="I15" t="str">
            <v>TECTOR EVO 170E28</v>
          </cell>
          <cell r="J15" t="str">
            <v>Engrase tractor completo</v>
          </cell>
          <cell r="K15" t="str">
            <v>Falta Consumo</v>
          </cell>
          <cell r="L15"/>
        </row>
        <row r="16">
          <cell r="A16">
            <v>38431</v>
          </cell>
          <cell r="B16" t="str">
            <v>Correctivo</v>
          </cell>
          <cell r="C16" t="str">
            <v>SRAF</v>
          </cell>
          <cell r="D16" t="str">
            <v>Liberada</v>
          </cell>
          <cell r="E16" t="str">
            <v>No</v>
          </cell>
          <cell r="F16">
            <v>46237</v>
          </cell>
          <cell r="G16" t="str">
            <v>O</v>
          </cell>
          <cell r="H16" t="str">
            <v>LFK337</v>
          </cell>
          <cell r="I16" t="str">
            <v>AXOR 2035</v>
          </cell>
          <cell r="J16" t="str">
            <v>Colocar inyectores y bomba inyectora</v>
          </cell>
          <cell r="K16" t="str">
            <v>Falta Consumo</v>
          </cell>
          <cell r="L16"/>
        </row>
        <row r="17">
          <cell r="A17">
            <v>38932</v>
          </cell>
          <cell r="B17" t="str">
            <v>Correctivo</v>
          </cell>
          <cell r="C17" t="str">
            <v>CIUD</v>
          </cell>
          <cell r="D17" t="str">
            <v>Liberada</v>
          </cell>
          <cell r="E17" t="str">
            <v>No</v>
          </cell>
          <cell r="F17">
            <v>46240</v>
          </cell>
          <cell r="G17" t="str">
            <v>O</v>
          </cell>
          <cell r="H17" t="str">
            <v>AB320YW</v>
          </cell>
          <cell r="I17" t="str">
            <v>ATEGO 2426</v>
          </cell>
          <cell r="J17" t="str">
            <v>Cambiar Lamparas 24V 21/5w Varias</v>
          </cell>
          <cell r="K17" t="str">
            <v>Falta Consumo</v>
          </cell>
          <cell r="L17"/>
        </row>
        <row r="18">
          <cell r="A18">
            <v>38606</v>
          </cell>
          <cell r="B18" t="str">
            <v>Correctivo</v>
          </cell>
          <cell r="C18" t="str">
            <v>SRAF</v>
          </cell>
          <cell r="D18" t="str">
            <v>Liberada</v>
          </cell>
          <cell r="E18" t="str">
            <v>No</v>
          </cell>
          <cell r="F18">
            <v>46240</v>
          </cell>
          <cell r="G18" t="str">
            <v>O</v>
          </cell>
          <cell r="H18" t="str">
            <v>KUF609</v>
          </cell>
          <cell r="I18" t="str">
            <v>AXOR 1933</v>
          </cell>
          <cell r="J18" t="str">
            <v>Agregar liquido refrigerante</v>
          </cell>
          <cell r="K18" t="str">
            <v>Falta Consumo</v>
          </cell>
          <cell r="L18"/>
        </row>
        <row r="19">
          <cell r="A19">
            <v>38975</v>
          </cell>
          <cell r="B19" t="str">
            <v>Correctivo</v>
          </cell>
          <cell r="C19" t="str">
            <v>MNZA</v>
          </cell>
          <cell r="D19" t="str">
            <v>Liberada</v>
          </cell>
          <cell r="E19" t="str">
            <v>No</v>
          </cell>
          <cell r="F19">
            <v>46240</v>
          </cell>
          <cell r="G19" t="str">
            <v>O</v>
          </cell>
          <cell r="H19" t="str">
            <v>AUTOELEVADOR HELI</v>
          </cell>
          <cell r="I19" t="str">
            <v>H SERIE</v>
          </cell>
          <cell r="J19" t="str">
            <v>Cambiar manguera de liquido hidraulico</v>
          </cell>
          <cell r="K19" t="str">
            <v>Falta Consumo</v>
          </cell>
          <cell r="L19"/>
        </row>
        <row r="20">
          <cell r="A20">
            <v>39007</v>
          </cell>
          <cell r="B20" t="str">
            <v>Preventivo</v>
          </cell>
          <cell r="C20" t="str">
            <v>MNZA</v>
          </cell>
          <cell r="D20" t="str">
            <v>Liberada</v>
          </cell>
          <cell r="E20" t="str">
            <v>No</v>
          </cell>
          <cell r="F20">
            <v>46244</v>
          </cell>
          <cell r="G20" t="str">
            <v>O</v>
          </cell>
          <cell r="H20" t="str">
            <v>AF619YO</v>
          </cell>
          <cell r="I20" t="str">
            <v>PARTNER CONFORT 1.6 HDI 92 AM22 -FURGON-</v>
          </cell>
          <cell r="J20" t="str">
            <v>Cambiar Filtro De Combustible</v>
          </cell>
          <cell r="K20" t="str">
            <v>Falta Consumo</v>
          </cell>
          <cell r="L20"/>
        </row>
        <row r="21">
          <cell r="A21">
            <v>38947</v>
          </cell>
          <cell r="B21" t="str">
            <v>Correctivo</v>
          </cell>
          <cell r="C21" t="str">
            <v>CIUD</v>
          </cell>
          <cell r="D21" t="str">
            <v>Liberada</v>
          </cell>
          <cell r="E21" t="str">
            <v>No</v>
          </cell>
          <cell r="F21">
            <v>46240</v>
          </cell>
          <cell r="G21" t="str">
            <v>O</v>
          </cell>
          <cell r="H21" t="str">
            <v>AF444TU</v>
          </cell>
          <cell r="I21" t="str">
            <v>TECTOR EVO 170E28</v>
          </cell>
          <cell r="J21" t="str">
            <v>Cambiar Lámpara Posición</v>
          </cell>
          <cell r="K21" t="str">
            <v>Falta Consumo</v>
          </cell>
          <cell r="L21"/>
        </row>
        <row r="22">
          <cell r="A22">
            <v>38823</v>
          </cell>
          <cell r="B22" t="str">
            <v>Correctivo</v>
          </cell>
          <cell r="C22" t="str">
            <v>CIUD</v>
          </cell>
          <cell r="D22" t="str">
            <v>Cerrada</v>
          </cell>
          <cell r="E22" t="str">
            <v>No</v>
          </cell>
          <cell r="F22">
            <v>46237</v>
          </cell>
          <cell r="G22" t="str">
            <v>O</v>
          </cell>
          <cell r="H22" t="str">
            <v>AF371BG</v>
          </cell>
          <cell r="I22" t="str">
            <v>PALETERO S.PA.3E.71 2+1</v>
          </cell>
          <cell r="J22" t="str">
            <v>Cambio Acople y Manguera Espiralada de Aire</v>
          </cell>
          <cell r="K22" t="str">
            <v>Falta Material</v>
          </cell>
          <cell r="L22"/>
        </row>
        <row r="23">
          <cell r="A23">
            <v>38664</v>
          </cell>
          <cell r="B23" t="str">
            <v>Correctivo</v>
          </cell>
          <cell r="C23" t="str">
            <v>CIUD</v>
          </cell>
          <cell r="D23" t="str">
            <v>Cerrada</v>
          </cell>
          <cell r="E23" t="str">
            <v>No</v>
          </cell>
          <cell r="F23">
            <v>46236</v>
          </cell>
          <cell r="G23" t="str">
            <v>O</v>
          </cell>
          <cell r="H23" t="str">
            <v>AD426HY</v>
          </cell>
          <cell r="I23" t="str">
            <v>AXOR 2541</v>
          </cell>
          <cell r="J23" t="str">
            <v>Cambiar Lamparas 24V 5W Varias</v>
          </cell>
          <cell r="K23" t="str">
            <v>Falta Material</v>
          </cell>
          <cell r="L23"/>
        </row>
        <row r="24">
          <cell r="A24">
            <v>38860</v>
          </cell>
          <cell r="B24" t="str">
            <v>Correctivo</v>
          </cell>
          <cell r="C24" t="str">
            <v>CIUD</v>
          </cell>
          <cell r="D24" t="str">
            <v>Liberada</v>
          </cell>
          <cell r="E24" t="str">
            <v>No</v>
          </cell>
          <cell r="F24">
            <v>46238</v>
          </cell>
          <cell r="G24" t="str">
            <v>O</v>
          </cell>
          <cell r="H24" t="str">
            <v>OJG098</v>
          </cell>
          <cell r="I24" t="str">
            <v>ATEGO 1725</v>
          </cell>
          <cell r="J24" t="str">
            <v>Cambiar lampara 5w 24v</v>
          </cell>
          <cell r="K24" t="str">
            <v>Falta Consumo</v>
          </cell>
          <cell r="L24"/>
        </row>
        <row r="25">
          <cell r="A25">
            <v>38691</v>
          </cell>
          <cell r="B25" t="str">
            <v>Correctivo</v>
          </cell>
          <cell r="C25" t="str">
            <v>CIUD</v>
          </cell>
          <cell r="D25" t="str">
            <v>Liberada</v>
          </cell>
          <cell r="E25" t="str">
            <v>No</v>
          </cell>
          <cell r="F25">
            <v>46236</v>
          </cell>
          <cell r="G25" t="str">
            <v>O</v>
          </cell>
          <cell r="H25" t="str">
            <v>HNE430</v>
          </cell>
          <cell r="I25" t="str">
            <v>1318</v>
          </cell>
          <cell r="J25" t="str">
            <v>Cambio Tecla De Luz</v>
          </cell>
          <cell r="K25" t="str">
            <v>Falta Consumo</v>
          </cell>
          <cell r="L25"/>
        </row>
        <row r="26">
          <cell r="A26">
            <v>38606</v>
          </cell>
          <cell r="B26" t="str">
            <v>Correctivo</v>
          </cell>
          <cell r="C26" t="str">
            <v>SRAF</v>
          </cell>
          <cell r="D26" t="str">
            <v>Liberada</v>
          </cell>
          <cell r="E26" t="str">
            <v>No</v>
          </cell>
          <cell r="F26">
            <v>46240</v>
          </cell>
          <cell r="G26" t="str">
            <v>O</v>
          </cell>
          <cell r="H26" t="str">
            <v>KUF609</v>
          </cell>
          <cell r="I26" t="str">
            <v>AXOR 1933</v>
          </cell>
          <cell r="J26" t="str">
            <v>Agregar Aceite (Tractor)</v>
          </cell>
          <cell r="K26" t="str">
            <v>Falta Consumo</v>
          </cell>
          <cell r="L26"/>
        </row>
        <row r="27">
          <cell r="A27">
            <v>39002</v>
          </cell>
          <cell r="B27" t="str">
            <v>Correctivo</v>
          </cell>
          <cell r="C27" t="str">
            <v>SRAF</v>
          </cell>
          <cell r="D27" t="str">
            <v>Liberada</v>
          </cell>
          <cell r="E27" t="str">
            <v>No</v>
          </cell>
          <cell r="F27">
            <v>46245</v>
          </cell>
          <cell r="G27" t="str">
            <v>O</v>
          </cell>
          <cell r="H27" t="str">
            <v>KUF609</v>
          </cell>
          <cell r="I27" t="str">
            <v>AXOR 1933</v>
          </cell>
          <cell r="J27" t="str">
            <v>Engrase Completo</v>
          </cell>
          <cell r="K27" t="str">
            <v>Falta Material</v>
          </cell>
          <cell r="L27"/>
        </row>
        <row r="28">
          <cell r="A28">
            <v>39017</v>
          </cell>
          <cell r="B28" t="str">
            <v>Preventivo</v>
          </cell>
          <cell r="C28" t="str">
            <v>MNZA</v>
          </cell>
          <cell r="D28" t="str">
            <v>Liberada</v>
          </cell>
          <cell r="E28" t="str">
            <v>No</v>
          </cell>
          <cell r="F28">
            <v>46244</v>
          </cell>
          <cell r="G28" t="str">
            <v>O</v>
          </cell>
          <cell r="H28" t="str">
            <v>AF148MS</v>
          </cell>
          <cell r="I28" t="str">
            <v>AXOR 1933</v>
          </cell>
          <cell r="J28" t="str">
            <v>Cambiar filtro de aire</v>
          </cell>
          <cell r="K28" t="str">
            <v>Falta Consumo</v>
          </cell>
          <cell r="L28"/>
        </row>
        <row r="29">
          <cell r="A29">
            <v>38441</v>
          </cell>
          <cell r="B29" t="str">
            <v>Correctivo</v>
          </cell>
          <cell r="C29" t="str">
            <v>SRAF</v>
          </cell>
          <cell r="D29" t="str">
            <v>Liberada</v>
          </cell>
          <cell r="E29" t="str">
            <v>No</v>
          </cell>
          <cell r="F29">
            <v>46237</v>
          </cell>
          <cell r="G29" t="str">
            <v>O</v>
          </cell>
          <cell r="H29" t="str">
            <v>FQT894</v>
          </cell>
          <cell r="I29" t="str">
            <v>1620</v>
          </cell>
          <cell r="J29" t="str">
            <v>Cambiar bombin de embrague</v>
          </cell>
          <cell r="K29" t="str">
            <v>Falta Consumo</v>
          </cell>
          <cell r="L29"/>
        </row>
        <row r="30">
          <cell r="A30">
            <v>38824</v>
          </cell>
          <cell r="B30" t="str">
            <v>Correctivo</v>
          </cell>
          <cell r="C30" t="str">
            <v>CIUD</v>
          </cell>
          <cell r="D30" t="str">
            <v>Cerrada</v>
          </cell>
          <cell r="E30" t="str">
            <v>No</v>
          </cell>
          <cell r="F30">
            <v>46237</v>
          </cell>
          <cell r="G30" t="str">
            <v>O</v>
          </cell>
          <cell r="H30" t="str">
            <v>AF114FZ</v>
          </cell>
          <cell r="I30" t="str">
            <v>ATEGO 1729</v>
          </cell>
          <cell r="J30" t="str">
            <v>Cambiar Lamparas 24V 21/5w Varias</v>
          </cell>
          <cell r="K30" t="str">
            <v>Falta Material</v>
          </cell>
          <cell r="L30"/>
        </row>
        <row r="31">
          <cell r="A31">
            <v>38574</v>
          </cell>
          <cell r="B31" t="str">
            <v>Preventivo</v>
          </cell>
          <cell r="C31" t="str">
            <v>CIUD</v>
          </cell>
          <cell r="D31" t="str">
            <v>Liberada</v>
          </cell>
          <cell r="E31" t="str">
            <v>No</v>
          </cell>
          <cell r="F31">
            <v>46239</v>
          </cell>
          <cell r="G31" t="str">
            <v>O</v>
          </cell>
          <cell r="H31" t="str">
            <v>AF743LB</v>
          </cell>
          <cell r="I31" t="str">
            <v>ATEGO 1729</v>
          </cell>
          <cell r="J31" t="str">
            <v>Cambiar filtro de aire</v>
          </cell>
          <cell r="K31" t="str">
            <v>Falta Consumo</v>
          </cell>
          <cell r="L31"/>
        </row>
        <row r="32">
          <cell r="A32">
            <v>38612</v>
          </cell>
          <cell r="B32" t="str">
            <v>Correctivo</v>
          </cell>
          <cell r="C32" t="str">
            <v>SRAF</v>
          </cell>
          <cell r="D32" t="str">
            <v>Liberada</v>
          </cell>
          <cell r="E32" t="str">
            <v>No</v>
          </cell>
          <cell r="F32">
            <v>46240</v>
          </cell>
          <cell r="G32" t="str">
            <v>O</v>
          </cell>
          <cell r="H32" t="str">
            <v>OAF643</v>
          </cell>
          <cell r="I32" t="str">
            <v>G310</v>
          </cell>
          <cell r="J32" t="str">
            <v>Agregar Aceite (Tractor)</v>
          </cell>
          <cell r="K32" t="str">
            <v>Falta Material</v>
          </cell>
          <cell r="L32"/>
        </row>
        <row r="33">
          <cell r="A33">
            <v>38998</v>
          </cell>
          <cell r="B33" t="str">
            <v>Correctivo</v>
          </cell>
          <cell r="C33" t="str">
            <v>CIUD</v>
          </cell>
          <cell r="D33" t="str">
            <v>Cerrada</v>
          </cell>
          <cell r="E33" t="str">
            <v>No</v>
          </cell>
          <cell r="F33">
            <v>46244</v>
          </cell>
          <cell r="G33" t="str">
            <v>O</v>
          </cell>
          <cell r="H33" t="str">
            <v>AF613YX</v>
          </cell>
          <cell r="I33" t="str">
            <v>TECTOR EVO 170E28</v>
          </cell>
          <cell r="J33" t="str">
            <v>Lubricar Guia De Lona y Regulo</v>
          </cell>
          <cell r="K33" t="str">
            <v>FALTA MATERIAL</v>
          </cell>
          <cell r="L33"/>
        </row>
        <row r="34">
          <cell r="A34">
            <v>39014</v>
          </cell>
          <cell r="B34" t="str">
            <v>Preventivo</v>
          </cell>
          <cell r="C34" t="str">
            <v>MNZA</v>
          </cell>
          <cell r="D34" t="str">
            <v>Liberada</v>
          </cell>
          <cell r="E34" t="str">
            <v>No</v>
          </cell>
          <cell r="F34">
            <v>46244</v>
          </cell>
          <cell r="G34" t="str">
            <v>O</v>
          </cell>
          <cell r="H34" t="str">
            <v>AF619YO</v>
          </cell>
          <cell r="I34" t="str">
            <v>PARTNER CONFORT 1.6 HDI 92 AM22 -FURGON-</v>
          </cell>
          <cell r="J34" t="str">
            <v>Cambiar lampara h4 24v</v>
          </cell>
          <cell r="K34" t="str">
            <v>Falta Consumo</v>
          </cell>
          <cell r="L34"/>
        </row>
        <row r="35">
          <cell r="A35">
            <v>38411</v>
          </cell>
          <cell r="B35" t="str">
            <v>Correctivo</v>
          </cell>
          <cell r="C35" t="str">
            <v>MNZA</v>
          </cell>
          <cell r="D35" t="str">
            <v>Liberada</v>
          </cell>
          <cell r="E35" t="str">
            <v>No</v>
          </cell>
          <cell r="F35">
            <v>46236</v>
          </cell>
          <cell r="G35" t="str">
            <v>O</v>
          </cell>
          <cell r="H35" t="str">
            <v>LUW863</v>
          </cell>
          <cell r="I35" t="str">
            <v>ACOPLADO BARANDA VOLC. 3 EJES</v>
          </cell>
          <cell r="J35" t="str">
            <v>Cambiar Cubierta 3II</v>
          </cell>
          <cell r="K35" t="str">
            <v>Falta Consumo</v>
          </cell>
          <cell r="L35"/>
        </row>
        <row r="36">
          <cell r="A36">
            <v>38431</v>
          </cell>
          <cell r="B36" t="str">
            <v>Correctivo</v>
          </cell>
          <cell r="C36" t="str">
            <v>SRAF</v>
          </cell>
          <cell r="D36" t="str">
            <v>Liberada</v>
          </cell>
          <cell r="E36" t="str">
            <v>No</v>
          </cell>
          <cell r="F36">
            <v>46237</v>
          </cell>
          <cell r="G36" t="str">
            <v>O</v>
          </cell>
          <cell r="H36" t="str">
            <v>LFK337</v>
          </cell>
          <cell r="I36" t="str">
            <v>AXOR 2035</v>
          </cell>
          <cell r="J36" t="str">
            <v>Agregar Aceite (Tractor)</v>
          </cell>
          <cell r="K36" t="str">
            <v>Falta Consumo</v>
          </cell>
          <cell r="L36"/>
        </row>
        <row r="37">
          <cell r="A37">
            <v>38974</v>
          </cell>
          <cell r="B37" t="str">
            <v>Correctivo</v>
          </cell>
          <cell r="C37" t="str">
            <v>MNZA</v>
          </cell>
          <cell r="D37" t="str">
            <v>Liberada</v>
          </cell>
          <cell r="E37" t="str">
            <v>No</v>
          </cell>
          <cell r="F37">
            <v>46243</v>
          </cell>
          <cell r="G37" t="str">
            <v>O</v>
          </cell>
          <cell r="H37" t="str">
            <v>HRJ003</v>
          </cell>
          <cell r="I37" t="str">
            <v>1318</v>
          </cell>
          <cell r="J37" t="str">
            <v>Cambiar bomba de agua</v>
          </cell>
          <cell r="K37" t="str">
            <v>Falta Consumo</v>
          </cell>
          <cell r="L37"/>
        </row>
        <row r="38">
          <cell r="A38">
            <v>39011</v>
          </cell>
          <cell r="B38" t="str">
            <v>Preventivo</v>
          </cell>
          <cell r="C38" t="str">
            <v>MNZA</v>
          </cell>
          <cell r="D38" t="str">
            <v>Liberada</v>
          </cell>
          <cell r="E38" t="str">
            <v>No</v>
          </cell>
          <cell r="F38">
            <v>46244</v>
          </cell>
          <cell r="G38" t="str">
            <v>O</v>
          </cell>
          <cell r="H38" t="str">
            <v>AF619YO</v>
          </cell>
          <cell r="I38" t="str">
            <v>PARTNER CONFORT 1.6 HDI 92 AM22 -FURGON-</v>
          </cell>
          <cell r="J38" t="str">
            <v>Cambiar El Filtro De Polvo (Aire / Calefa)</v>
          </cell>
          <cell r="K38" t="str">
            <v>Falta Consumo</v>
          </cell>
          <cell r="L38"/>
        </row>
        <row r="39">
          <cell r="A39">
            <v>38470</v>
          </cell>
          <cell r="B39" t="str">
            <v>Correctivo</v>
          </cell>
          <cell r="C39" t="str">
            <v>CIUD</v>
          </cell>
          <cell r="D39" t="str">
            <v>Cerrada</v>
          </cell>
          <cell r="E39" t="str">
            <v>No</v>
          </cell>
          <cell r="F39">
            <v>46237</v>
          </cell>
          <cell r="G39" t="str">
            <v>O</v>
          </cell>
          <cell r="H39" t="str">
            <v>OAF640</v>
          </cell>
          <cell r="I39" t="str">
            <v>G310</v>
          </cell>
          <cell r="J39" t="str">
            <v>Limpieza y Engrase de Plato</v>
          </cell>
          <cell r="K39" t="str">
            <v>Falta Material (315)</v>
          </cell>
          <cell r="L39"/>
        </row>
        <row r="40">
          <cell r="A40">
            <v>38531</v>
          </cell>
          <cell r="B40" t="str">
            <v>Preventivo</v>
          </cell>
          <cell r="C40" t="str">
            <v>SRAF</v>
          </cell>
          <cell r="D40" t="str">
            <v>Liberada</v>
          </cell>
          <cell r="E40" t="str">
            <v>No</v>
          </cell>
          <cell r="F40">
            <v>46238</v>
          </cell>
          <cell r="G40" t="str">
            <v>O</v>
          </cell>
          <cell r="H40" t="str">
            <v>KUF609</v>
          </cell>
          <cell r="I40" t="str">
            <v>AXOR 1933</v>
          </cell>
          <cell r="J40" t="str">
            <v>Cambio De Aceite De Motor Y Filtro Aceite</v>
          </cell>
          <cell r="K40" t="str">
            <v>Falta Consumo</v>
          </cell>
          <cell r="L40"/>
        </row>
        <row r="41">
          <cell r="A41">
            <v>39051</v>
          </cell>
          <cell r="B41" t="str">
            <v>Correctivo</v>
          </cell>
          <cell r="C41" t="str">
            <v>CIUD</v>
          </cell>
          <cell r="D41" t="str">
            <v>Liberada</v>
          </cell>
          <cell r="E41" t="str">
            <v>No</v>
          </cell>
          <cell r="F41">
            <v>46245</v>
          </cell>
          <cell r="G41" t="str">
            <v>O</v>
          </cell>
          <cell r="H41" t="str">
            <v>AF613YZ</v>
          </cell>
          <cell r="I41" t="str">
            <v>TECTOR EVO 170E28</v>
          </cell>
          <cell r="J41" t="str">
            <v>Coloco Carrito De Lona Izq</v>
          </cell>
          <cell r="K41" t="str">
            <v>Falta Consumo</v>
          </cell>
          <cell r="L41"/>
        </row>
        <row r="42">
          <cell r="A42">
            <v>38612</v>
          </cell>
          <cell r="B42" t="str">
            <v>Correctivo</v>
          </cell>
          <cell r="C42" t="str">
            <v>SRAF</v>
          </cell>
          <cell r="D42" t="str">
            <v>Liberada</v>
          </cell>
          <cell r="E42" t="str">
            <v>No</v>
          </cell>
          <cell r="F42">
            <v>46240</v>
          </cell>
          <cell r="G42" t="str">
            <v>O</v>
          </cell>
          <cell r="H42" t="str">
            <v>OAF643</v>
          </cell>
          <cell r="I42" t="str">
            <v>G310</v>
          </cell>
          <cell r="J42" t="str">
            <v>Engrase Completo</v>
          </cell>
          <cell r="K42" t="str">
            <v>Falta Material</v>
          </cell>
          <cell r="L42"/>
        </row>
        <row r="43">
          <cell r="A43">
            <v>38664</v>
          </cell>
          <cell r="B43" t="str">
            <v>Correctivo</v>
          </cell>
          <cell r="C43" t="str">
            <v>CIUD</v>
          </cell>
          <cell r="D43" t="str">
            <v>Cerrada</v>
          </cell>
          <cell r="E43" t="str">
            <v>No</v>
          </cell>
          <cell r="F43">
            <v>46236</v>
          </cell>
          <cell r="G43" t="str">
            <v>O</v>
          </cell>
          <cell r="H43" t="str">
            <v>AD426HY</v>
          </cell>
          <cell r="I43" t="str">
            <v>AXOR 2541</v>
          </cell>
          <cell r="J43" t="str">
            <v>Cambiar Faro Trasero Izq.</v>
          </cell>
          <cell r="K43" t="str">
            <v>Falta Material</v>
          </cell>
          <cell r="L43"/>
        </row>
        <row r="44">
          <cell r="A44">
            <v>39003</v>
          </cell>
          <cell r="B44" t="str">
            <v>Correctivo</v>
          </cell>
          <cell r="C44" t="str">
            <v>SRAF</v>
          </cell>
          <cell r="D44" t="str">
            <v>Liberada</v>
          </cell>
          <cell r="E44" t="str">
            <v>No</v>
          </cell>
          <cell r="F44">
            <v>46245</v>
          </cell>
          <cell r="G44" t="str">
            <v>O</v>
          </cell>
          <cell r="H44" t="str">
            <v>AE700VS</v>
          </cell>
          <cell r="I44" t="str">
            <v>AXOR 2036</v>
          </cell>
          <cell r="J44" t="str">
            <v>Agregar liquido refrigerante</v>
          </cell>
          <cell r="K44" t="str">
            <v>Falta Consumo</v>
          </cell>
          <cell r="L44"/>
        </row>
        <row r="45">
          <cell r="A45">
            <v>39008</v>
          </cell>
          <cell r="B45" t="str">
            <v>Preventivo</v>
          </cell>
          <cell r="C45" t="str">
            <v>MNZA</v>
          </cell>
          <cell r="D45" t="str">
            <v>Liberada</v>
          </cell>
          <cell r="E45" t="str">
            <v>No</v>
          </cell>
          <cell r="F45">
            <v>46244</v>
          </cell>
          <cell r="G45" t="str">
            <v>O</v>
          </cell>
          <cell r="H45" t="str">
            <v>AF619YO</v>
          </cell>
          <cell r="I45" t="str">
            <v>PARTNER CONFORT 1.6 HDI 92 AM22 -FURGON-</v>
          </cell>
          <cell r="J45" t="str">
            <v>Cambiar filtro de aire</v>
          </cell>
          <cell r="K45" t="str">
            <v>Falta Consumo</v>
          </cell>
          <cell r="L45"/>
        </row>
        <row r="46">
          <cell r="A46">
            <v>38429</v>
          </cell>
          <cell r="B46" t="str">
            <v>Correctivo</v>
          </cell>
          <cell r="C46" t="str">
            <v>SRAF</v>
          </cell>
          <cell r="D46" t="str">
            <v>Liberada</v>
          </cell>
          <cell r="E46" t="str">
            <v>No</v>
          </cell>
          <cell r="F46">
            <v>46237</v>
          </cell>
          <cell r="G46" t="str">
            <v>O</v>
          </cell>
          <cell r="H46" t="str">
            <v>OAF635</v>
          </cell>
          <cell r="I46" t="str">
            <v>16-BDAS. VOLC. 3 EJES</v>
          </cell>
          <cell r="J46" t="str">
            <v>Engrase Completo</v>
          </cell>
          <cell r="K46" t="str">
            <v>Falta Consumo</v>
          </cell>
          <cell r="L46"/>
        </row>
        <row r="47">
          <cell r="A47">
            <v>38989</v>
          </cell>
          <cell r="B47" t="str">
            <v>Auxilios</v>
          </cell>
          <cell r="C47" t="str">
            <v>SRAF</v>
          </cell>
          <cell r="D47" t="str">
            <v>Liberada</v>
          </cell>
          <cell r="E47" t="str">
            <v>No</v>
          </cell>
          <cell r="F47">
            <v>46238</v>
          </cell>
          <cell r="G47" t="str">
            <v>O</v>
          </cell>
          <cell r="H47" t="str">
            <v>AE812EN</v>
          </cell>
          <cell r="I47" t="str">
            <v>SCANIA P410 A6X2</v>
          </cell>
          <cell r="J47" t="str">
            <v>Cambiar ruleman de rueda trasera izquierda</v>
          </cell>
          <cell r="K47" t="str">
            <v>Falta Material</v>
          </cell>
          <cell r="L47"/>
        </row>
        <row r="48">
          <cell r="A48">
            <v>39005</v>
          </cell>
          <cell r="B48" t="str">
            <v>Correctivo</v>
          </cell>
          <cell r="C48" t="str">
            <v>MNZA</v>
          </cell>
          <cell r="D48" t="str">
            <v>Liberada</v>
          </cell>
          <cell r="E48" t="str">
            <v>No</v>
          </cell>
          <cell r="F48">
            <v>46244</v>
          </cell>
          <cell r="G48" t="str">
            <v>O</v>
          </cell>
          <cell r="H48" t="str">
            <v>KUF606</v>
          </cell>
          <cell r="I48" t="str">
            <v>AXOR 1933</v>
          </cell>
          <cell r="J48" t="str">
            <v>Cambiar lamparas</v>
          </cell>
          <cell r="K48" t="str">
            <v>Falta Consumo</v>
          </cell>
          <cell r="L48"/>
        </row>
        <row r="49">
          <cell r="A49">
            <v>39044</v>
          </cell>
          <cell r="B49" t="str">
            <v>Correctivo</v>
          </cell>
          <cell r="C49" t="str">
            <v>CIUD</v>
          </cell>
          <cell r="D49" t="str">
            <v>Liberada</v>
          </cell>
          <cell r="E49" t="str">
            <v>No</v>
          </cell>
          <cell r="F49">
            <v>46245</v>
          </cell>
          <cell r="G49" t="str">
            <v>O</v>
          </cell>
          <cell r="H49" t="str">
            <v>KMF921</v>
          </cell>
          <cell r="I49" t="str">
            <v>FTHDCFW3</v>
          </cell>
          <cell r="J49" t="str">
            <v>Cambiar lamparas</v>
          </cell>
          <cell r="K49" t="str">
            <v>Falta Consumo</v>
          </cell>
          <cell r="L49"/>
        </row>
        <row r="50">
          <cell r="A50">
            <v>38408</v>
          </cell>
          <cell r="B50" t="str">
            <v>Correctivo</v>
          </cell>
          <cell r="C50" t="str">
            <v>SRAF</v>
          </cell>
          <cell r="D50" t="str">
            <v>Liberada</v>
          </cell>
          <cell r="E50" t="str">
            <v>No</v>
          </cell>
          <cell r="F50">
            <v>46236</v>
          </cell>
          <cell r="G50" t="str">
            <v>O</v>
          </cell>
          <cell r="H50" t="str">
            <v>AF247UT</v>
          </cell>
          <cell r="I50" t="str">
            <v>PALETERO S.PA.3E.71 2+1</v>
          </cell>
          <cell r="J50" t="str">
            <v>Engrase Completo</v>
          </cell>
          <cell r="K50" t="str">
            <v>Falta Consumo</v>
          </cell>
          <cell r="L50"/>
        </row>
        <row r="51">
          <cell r="A51">
            <v>39002</v>
          </cell>
          <cell r="B51" t="str">
            <v>Correctivo</v>
          </cell>
          <cell r="C51" t="str">
            <v>SRAF</v>
          </cell>
          <cell r="D51" t="str">
            <v>Liberada</v>
          </cell>
          <cell r="E51" t="str">
            <v>No</v>
          </cell>
          <cell r="F51">
            <v>46245</v>
          </cell>
          <cell r="G51" t="str">
            <v>O</v>
          </cell>
          <cell r="H51" t="str">
            <v>KUF609</v>
          </cell>
          <cell r="I51" t="str">
            <v>AXOR 1933</v>
          </cell>
          <cell r="J51" t="str">
            <v>Cambiar Bulbo de Presión de Aceite</v>
          </cell>
          <cell r="K51" t="str">
            <v>Ver tarea repetida o Falta Material</v>
          </cell>
          <cell r="L51"/>
        </row>
        <row r="52">
          <cell r="A52">
            <v>39003</v>
          </cell>
          <cell r="B52" t="str">
            <v>Correctivo</v>
          </cell>
          <cell r="C52" t="str">
            <v>SRAF</v>
          </cell>
          <cell r="D52" t="str">
            <v>Liberada</v>
          </cell>
          <cell r="E52" t="str">
            <v>No</v>
          </cell>
          <cell r="F52">
            <v>46245</v>
          </cell>
          <cell r="G52" t="str">
            <v>O</v>
          </cell>
          <cell r="H52" t="str">
            <v>AE700VS</v>
          </cell>
          <cell r="I52" t="str">
            <v>AXOR 2036</v>
          </cell>
          <cell r="J52" t="str">
            <v>Agregar Aceite (Tractor)</v>
          </cell>
          <cell r="K52" t="str">
            <v>Falta Consumo</v>
          </cell>
          <cell r="L52"/>
        </row>
        <row r="53">
          <cell r="A53">
            <v>38411</v>
          </cell>
          <cell r="B53" t="str">
            <v>Correctivo</v>
          </cell>
          <cell r="C53" t="str">
            <v>MNZA</v>
          </cell>
          <cell r="D53" t="str">
            <v>Liberada</v>
          </cell>
          <cell r="E53" t="str">
            <v>No</v>
          </cell>
          <cell r="F53">
            <v>46236</v>
          </cell>
          <cell r="G53" t="str">
            <v>O</v>
          </cell>
          <cell r="H53" t="str">
            <v>LUW863</v>
          </cell>
          <cell r="I53" t="str">
            <v>ACOPLADO BARANDA VOLC. 3 EJES</v>
          </cell>
          <cell r="J53" t="str">
            <v>Cambiar Cubierta 3DE</v>
          </cell>
          <cell r="K53" t="str">
            <v>Falta Consumo</v>
          </cell>
          <cell r="L53"/>
        </row>
        <row r="54">
          <cell r="A54">
            <v>39044</v>
          </cell>
          <cell r="B54" t="str">
            <v>Correctivo</v>
          </cell>
          <cell r="C54" t="str">
            <v>CIUD</v>
          </cell>
          <cell r="D54" t="str">
            <v>Liberada</v>
          </cell>
          <cell r="E54" t="str">
            <v>No</v>
          </cell>
          <cell r="F54">
            <v>46245</v>
          </cell>
          <cell r="G54" t="str">
            <v>O</v>
          </cell>
          <cell r="H54" t="str">
            <v>KMF921</v>
          </cell>
          <cell r="I54" t="str">
            <v>FTHDCFW3</v>
          </cell>
          <cell r="J54" t="str">
            <v>Coloco Barreros 1/2 Uso</v>
          </cell>
          <cell r="K54" t="str">
            <v>Falta Consumo</v>
          </cell>
          <cell r="L54"/>
        </row>
        <row r="55">
          <cell r="A55">
            <v>39046</v>
          </cell>
          <cell r="B55" t="str">
            <v>Correctivo</v>
          </cell>
          <cell r="C55" t="str">
            <v>CIUD</v>
          </cell>
          <cell r="D55" t="str">
            <v>Liberada</v>
          </cell>
          <cell r="E55" t="str">
            <v>No</v>
          </cell>
          <cell r="F55">
            <v>46245</v>
          </cell>
          <cell r="G55" t="str">
            <v>O</v>
          </cell>
          <cell r="H55" t="str">
            <v>FGV321</v>
          </cell>
          <cell r="I55" t="str">
            <v>1218</v>
          </cell>
          <cell r="J55" t="str">
            <v>Engrase tractor completo</v>
          </cell>
          <cell r="K55" t="str">
            <v>Falta Consumo</v>
          </cell>
          <cell r="L55"/>
        </row>
        <row r="56">
          <cell r="A56">
            <v>38608</v>
          </cell>
          <cell r="B56" t="str">
            <v>Correctivo</v>
          </cell>
          <cell r="C56" t="str">
            <v>SRAF</v>
          </cell>
          <cell r="D56" t="str">
            <v>Liberada</v>
          </cell>
          <cell r="E56" t="str">
            <v>No</v>
          </cell>
          <cell r="F56">
            <v>46240</v>
          </cell>
          <cell r="G56" t="str">
            <v>O</v>
          </cell>
          <cell r="H56" t="str">
            <v>JHD034</v>
          </cell>
          <cell r="I56" t="str">
            <v>16-BDAS. VOLC. 3 EJES</v>
          </cell>
          <cell r="J56" t="str">
            <v>Engrase Completo</v>
          </cell>
          <cell r="K56" t="str">
            <v>Falta Material</v>
          </cell>
          <cell r="L56"/>
        </row>
        <row r="57">
          <cell r="A57">
            <v>39015</v>
          </cell>
          <cell r="B57" t="str">
            <v>Preventivo</v>
          </cell>
          <cell r="C57" t="str">
            <v>MNZA</v>
          </cell>
          <cell r="D57" t="str">
            <v>Liberada</v>
          </cell>
          <cell r="E57" t="str">
            <v>No</v>
          </cell>
          <cell r="F57">
            <v>46244</v>
          </cell>
          <cell r="G57" t="str">
            <v>O</v>
          </cell>
          <cell r="H57" t="str">
            <v>AF148MS</v>
          </cell>
          <cell r="I57" t="str">
            <v>AXOR 1933</v>
          </cell>
          <cell r="J57" t="str">
            <v>Cambio De Aceite De Motor Y Filtro Aceite</v>
          </cell>
          <cell r="K57" t="str">
            <v>Falta Consumo</v>
          </cell>
          <cell r="L57"/>
        </row>
        <row r="58">
          <cell r="A58">
            <v>38515</v>
          </cell>
          <cell r="B58" t="str">
            <v>Correctivo</v>
          </cell>
          <cell r="C58" t="str">
            <v>CIUD</v>
          </cell>
          <cell r="D58" t="str">
            <v>Cerrada</v>
          </cell>
          <cell r="E58" t="str">
            <v>No</v>
          </cell>
          <cell r="F58">
            <v>46237</v>
          </cell>
          <cell r="G58" t="str">
            <v>O</v>
          </cell>
          <cell r="H58" t="str">
            <v>IDX163</v>
          </cell>
          <cell r="I58" t="str">
            <v>AXOR 1933</v>
          </cell>
          <cell r="J58" t="str">
            <v>Colocar Bombin de Embrague</v>
          </cell>
          <cell r="K58" t="str">
            <v>Falta Material</v>
          </cell>
          <cell r="L58"/>
        </row>
        <row r="59">
          <cell r="A59">
            <v>38610</v>
          </cell>
          <cell r="B59" t="str">
            <v>Correctivo</v>
          </cell>
          <cell r="C59" t="str">
            <v>SRAF</v>
          </cell>
          <cell r="D59" t="str">
            <v>Liberada</v>
          </cell>
          <cell r="E59" t="str">
            <v>No</v>
          </cell>
          <cell r="F59">
            <v>46240</v>
          </cell>
          <cell r="G59" t="str">
            <v>O</v>
          </cell>
          <cell r="H59" t="str">
            <v>OAF642</v>
          </cell>
          <cell r="I59" t="str">
            <v>G310</v>
          </cell>
          <cell r="J59" t="str">
            <v>Agregar Aceite (Tractor)</v>
          </cell>
          <cell r="K59" t="str">
            <v>Falta Material</v>
          </cell>
          <cell r="L59"/>
        </row>
        <row r="60">
          <cell r="A60">
            <v>39000</v>
          </cell>
          <cell r="B60" t="str">
            <v>Correctivo</v>
          </cell>
          <cell r="C60" t="str">
            <v>CIUD</v>
          </cell>
          <cell r="D60" t="str">
            <v>Cerrada</v>
          </cell>
          <cell r="E60" t="str">
            <v>No</v>
          </cell>
          <cell r="F60">
            <v>46244</v>
          </cell>
          <cell r="G60" t="str">
            <v>O</v>
          </cell>
          <cell r="H60" t="str">
            <v>AF444TW</v>
          </cell>
          <cell r="I60" t="str">
            <v>TECTOR EVO 170E28</v>
          </cell>
          <cell r="J60" t="str">
            <v>Engrasar Carritos de Lona</v>
          </cell>
          <cell r="K60" t="str">
            <v>Falta Material</v>
          </cell>
          <cell r="L60"/>
        </row>
        <row r="61">
          <cell r="A61">
            <v>38427</v>
          </cell>
          <cell r="B61" t="str">
            <v>Correctivo</v>
          </cell>
          <cell r="C61" t="str">
            <v>SRAF</v>
          </cell>
          <cell r="D61" t="str">
            <v>Liberada</v>
          </cell>
          <cell r="E61" t="str">
            <v>No</v>
          </cell>
          <cell r="F61">
            <v>46237</v>
          </cell>
          <cell r="G61" t="str">
            <v>O</v>
          </cell>
          <cell r="H61" t="str">
            <v>KUF606</v>
          </cell>
          <cell r="I61" t="str">
            <v>AXOR 1933</v>
          </cell>
          <cell r="J61" t="str">
            <v>Agregar Aceite (Tractor)</v>
          </cell>
          <cell r="K61" t="str">
            <v>Falta Consumo</v>
          </cell>
          <cell r="L61"/>
        </row>
        <row r="62">
          <cell r="A62">
            <v>39046</v>
          </cell>
          <cell r="B62" t="str">
            <v>Correctivo</v>
          </cell>
          <cell r="C62" t="str">
            <v>CIUD</v>
          </cell>
          <cell r="D62" t="str">
            <v>Liberada</v>
          </cell>
          <cell r="E62" t="str">
            <v>No</v>
          </cell>
          <cell r="F62">
            <v>46245</v>
          </cell>
          <cell r="G62" t="str">
            <v>O</v>
          </cell>
          <cell r="H62" t="str">
            <v>FGV321</v>
          </cell>
          <cell r="I62" t="str">
            <v>1218</v>
          </cell>
          <cell r="J62" t="str">
            <v>Agregar Aceite</v>
          </cell>
          <cell r="K62" t="str">
            <v>Falta Consumo</v>
          </cell>
          <cell r="L62"/>
        </row>
        <row r="63">
          <cell r="A63">
            <v>38964</v>
          </cell>
          <cell r="B63" t="str">
            <v>Correctivo</v>
          </cell>
          <cell r="C63" t="str">
            <v>CIUD</v>
          </cell>
          <cell r="D63" t="str">
            <v>Cerrada</v>
          </cell>
          <cell r="E63" t="str">
            <v>No</v>
          </cell>
          <cell r="F63">
            <v>46243</v>
          </cell>
          <cell r="G63" t="str">
            <v>O</v>
          </cell>
          <cell r="H63" t="str">
            <v>KDG188</v>
          </cell>
          <cell r="I63" t="str">
            <v>1318</v>
          </cell>
          <cell r="J63" t="str">
            <v>Engrase tractor completo</v>
          </cell>
          <cell r="K63" t="str">
            <v>Falta Material (315)</v>
          </cell>
          <cell r="L63"/>
        </row>
        <row r="64">
          <cell r="A64">
            <v>38993</v>
          </cell>
          <cell r="B64" t="str">
            <v>Auxilios</v>
          </cell>
          <cell r="C64" t="str">
            <v>MNZA</v>
          </cell>
          <cell r="D64" t="str">
            <v>Liberada</v>
          </cell>
          <cell r="E64" t="str">
            <v>No</v>
          </cell>
          <cell r="F64">
            <v>46244</v>
          </cell>
          <cell r="G64" t="str">
            <v>O</v>
          </cell>
          <cell r="H64" t="str">
            <v>AB696BS</v>
          </cell>
          <cell r="I64" t="str">
            <v>ATRON 1735 45</v>
          </cell>
          <cell r="J64" t="str">
            <v>Cambiar Tramo de Manguera del Block a la Tapa De Compresor</v>
          </cell>
          <cell r="K64" t="str">
            <v>Falta Consumo</v>
          </cell>
          <cell r="L64"/>
        </row>
        <row r="65">
          <cell r="A65">
            <v>38947</v>
          </cell>
          <cell r="B65" t="str">
            <v>Correctivo</v>
          </cell>
          <cell r="C65" t="str">
            <v>CIUD</v>
          </cell>
          <cell r="D65" t="str">
            <v>Liberada</v>
          </cell>
          <cell r="E65" t="str">
            <v>No</v>
          </cell>
          <cell r="F65">
            <v>46240</v>
          </cell>
          <cell r="G65" t="str">
            <v>O</v>
          </cell>
          <cell r="H65" t="str">
            <v>AF444TU</v>
          </cell>
          <cell r="I65" t="str">
            <v>TECTOR EVO 170E28</v>
          </cell>
          <cell r="J65" t="str">
            <v>Cambiar lampara h7 24v</v>
          </cell>
          <cell r="K65" t="str">
            <v>Falta Consumo</v>
          </cell>
          <cell r="L65"/>
        </row>
        <row r="66">
          <cell r="A66">
            <v>39044</v>
          </cell>
          <cell r="B66" t="str">
            <v>Correctivo</v>
          </cell>
          <cell r="C66" t="str">
            <v>CIUD</v>
          </cell>
          <cell r="D66" t="str">
            <v>Liberada</v>
          </cell>
          <cell r="E66" t="str">
            <v>No</v>
          </cell>
          <cell r="F66">
            <v>46245</v>
          </cell>
          <cell r="G66" t="str">
            <v>O</v>
          </cell>
          <cell r="H66" t="str">
            <v>KMF921</v>
          </cell>
          <cell r="I66" t="str">
            <v>FTHDCFW3</v>
          </cell>
          <cell r="J66" t="str">
            <v>Engrase Completo Semi</v>
          </cell>
          <cell r="K66" t="str">
            <v>Falta Consumo</v>
          </cell>
          <cell r="L66"/>
        </row>
        <row r="67">
          <cell r="A67">
            <v>38606</v>
          </cell>
          <cell r="B67" t="str">
            <v>Correctivo</v>
          </cell>
          <cell r="C67" t="str">
            <v>SRAF</v>
          </cell>
          <cell r="D67" t="str">
            <v>Liberada</v>
          </cell>
          <cell r="E67" t="str">
            <v>No</v>
          </cell>
          <cell r="F67">
            <v>46240</v>
          </cell>
          <cell r="G67" t="str">
            <v>O</v>
          </cell>
          <cell r="H67" t="str">
            <v>KUF609</v>
          </cell>
          <cell r="I67" t="str">
            <v>AXOR 1933</v>
          </cell>
          <cell r="J67" t="str">
            <v>Cambiar Faro Trasero</v>
          </cell>
          <cell r="K67" t="str">
            <v>Falta Consumo</v>
          </cell>
          <cell r="L67"/>
        </row>
        <row r="68">
          <cell r="A68">
            <v>38610</v>
          </cell>
          <cell r="B68" t="str">
            <v>Correctivo</v>
          </cell>
          <cell r="C68" t="str">
            <v>SRAF</v>
          </cell>
          <cell r="D68" t="str">
            <v>Liberada</v>
          </cell>
          <cell r="E68" t="str">
            <v>No</v>
          </cell>
          <cell r="F68">
            <v>46240</v>
          </cell>
          <cell r="G68" t="str">
            <v>O</v>
          </cell>
          <cell r="H68" t="str">
            <v>OAF642</v>
          </cell>
          <cell r="I68" t="str">
            <v>G310</v>
          </cell>
          <cell r="J68" t="str">
            <v>Engrase Completo</v>
          </cell>
          <cell r="K68" t="str">
            <v>Falta Material</v>
          </cell>
          <cell r="L68"/>
        </row>
        <row r="69">
          <cell r="A69">
            <v>38664</v>
          </cell>
          <cell r="B69" t="str">
            <v>Correctivo</v>
          </cell>
          <cell r="C69" t="str">
            <v>CIUD</v>
          </cell>
          <cell r="D69" t="str">
            <v>Cerrada</v>
          </cell>
          <cell r="E69" t="str">
            <v>No</v>
          </cell>
          <cell r="F69">
            <v>46236</v>
          </cell>
          <cell r="G69" t="str">
            <v>O</v>
          </cell>
          <cell r="H69" t="str">
            <v>AD426HY</v>
          </cell>
          <cell r="I69" t="str">
            <v>AXOR 2541</v>
          </cell>
          <cell r="J69" t="str">
            <v>Cambiar Lamparas 24V 21/5w Varias</v>
          </cell>
          <cell r="K69" t="str">
            <v>Falta Material</v>
          </cell>
          <cell r="L69"/>
        </row>
        <row r="70">
          <cell r="A70">
            <v>38998</v>
          </cell>
          <cell r="B70" t="str">
            <v>Correctivo</v>
          </cell>
          <cell r="C70" t="str">
            <v>CIUD</v>
          </cell>
          <cell r="D70" t="str">
            <v>Cerrada</v>
          </cell>
          <cell r="E70" t="str">
            <v>No</v>
          </cell>
          <cell r="F70">
            <v>46244</v>
          </cell>
          <cell r="G70" t="str">
            <v>O</v>
          </cell>
          <cell r="H70" t="str">
            <v>AF613YX</v>
          </cell>
          <cell r="I70" t="str">
            <v>TECTOR EVO 170E28</v>
          </cell>
          <cell r="J70" t="str">
            <v>Engrase tractor completo</v>
          </cell>
          <cell r="K70" t="str">
            <v>FALTA MATERIAL</v>
          </cell>
          <cell r="L70"/>
        </row>
        <row r="71">
          <cell r="A71">
            <v>39006</v>
          </cell>
          <cell r="B71" t="str">
            <v>Preventivo</v>
          </cell>
          <cell r="C71" t="str">
            <v>MNZA</v>
          </cell>
          <cell r="D71" t="str">
            <v>Liberada</v>
          </cell>
          <cell r="E71" t="str">
            <v>No</v>
          </cell>
          <cell r="F71">
            <v>46244</v>
          </cell>
          <cell r="G71" t="str">
            <v>O</v>
          </cell>
          <cell r="H71" t="str">
            <v>AF619YO</v>
          </cell>
          <cell r="I71" t="str">
            <v>PARTNER CONFORT 1.6 HDI 92 AM22 -FURGON-</v>
          </cell>
          <cell r="J71" t="str">
            <v>Cambio De Aceite De Motor Y Filtro Aceite Utilitarios</v>
          </cell>
          <cell r="K71" t="str">
            <v>Falta Consumo</v>
          </cell>
          <cell r="L71"/>
        </row>
        <row r="72">
          <cell r="A72">
            <v>38930</v>
          </cell>
          <cell r="B72" t="str">
            <v>Correctivo</v>
          </cell>
          <cell r="C72" t="str">
            <v>CIUD</v>
          </cell>
          <cell r="D72" t="str">
            <v>Liberada</v>
          </cell>
          <cell r="E72" t="str">
            <v>No</v>
          </cell>
          <cell r="F72">
            <v>46240</v>
          </cell>
          <cell r="G72" t="str">
            <v>O</v>
          </cell>
          <cell r="H72" t="str">
            <v>AB320YW</v>
          </cell>
          <cell r="I72" t="str">
            <v>ATEGO 2426</v>
          </cell>
          <cell r="J72" t="str">
            <v>Cambiar destellador</v>
          </cell>
          <cell r="K72" t="str">
            <v>Falta Consumo</v>
          </cell>
          <cell r="L72"/>
        </row>
        <row r="73">
          <cell r="A73">
            <v>39044</v>
          </cell>
          <cell r="B73" t="str">
            <v>Correctivo</v>
          </cell>
          <cell r="C73" t="str">
            <v>CIUD</v>
          </cell>
          <cell r="D73" t="str">
            <v>Liberada</v>
          </cell>
          <cell r="E73" t="str">
            <v>No</v>
          </cell>
          <cell r="F73">
            <v>46245</v>
          </cell>
          <cell r="G73" t="str">
            <v>O</v>
          </cell>
          <cell r="H73" t="str">
            <v>KMF921</v>
          </cell>
          <cell r="I73" t="str">
            <v>FTHDCFW3</v>
          </cell>
          <cell r="J73" t="str">
            <v>Cambiar Cubiertas 1/2 USO 2DE / 2DI Desarme y Arme</v>
          </cell>
          <cell r="K73" t="str">
            <v>Falta Consumo</v>
          </cell>
          <cell r="L73"/>
        </row>
        <row r="74">
          <cell r="A74">
            <v>39046</v>
          </cell>
          <cell r="B74" t="str">
            <v>Correctivo</v>
          </cell>
          <cell r="C74" t="str">
            <v>CIUD</v>
          </cell>
          <cell r="D74" t="str">
            <v>Liberada</v>
          </cell>
          <cell r="E74" t="str">
            <v>No</v>
          </cell>
          <cell r="F74">
            <v>46245</v>
          </cell>
          <cell r="G74" t="str">
            <v>O</v>
          </cell>
          <cell r="H74" t="str">
            <v>FGV321</v>
          </cell>
          <cell r="I74" t="str">
            <v>1218</v>
          </cell>
          <cell r="J74" t="str">
            <v>Cambiar lamparas</v>
          </cell>
          <cell r="K74" t="str">
            <v>Falta Consumo</v>
          </cell>
          <cell r="L74"/>
        </row>
        <row r="75">
          <cell r="A75" t="str">
            <v>38386</v>
          </cell>
          <cell r="B75" t="str">
            <v>Correctivo</v>
          </cell>
          <cell r="C75" t="str">
            <v>CIUD</v>
          </cell>
          <cell r="D75" t="str">
            <v>Cerrada</v>
          </cell>
          <cell r="E75" t="str">
            <v>No</v>
          </cell>
          <cell r="F75">
            <v>46236</v>
          </cell>
          <cell r="G75" t="str">
            <v>O</v>
          </cell>
          <cell r="H75" t="str">
            <v>GTE287</v>
          </cell>
          <cell r="I75" t="str">
            <v>1624</v>
          </cell>
          <cell r="J75" t="str">
            <v>Múltiples repuestos</v>
          </cell>
          <cell r="K75" t="str">
            <v>Ok Contabilizar Si Corresponde</v>
          </cell>
          <cell r="L75"/>
        </row>
        <row r="76">
          <cell r="A76" t="str">
            <v>38600</v>
          </cell>
          <cell r="B76" t="str">
            <v>Correctivo</v>
          </cell>
          <cell r="C76" t="str">
            <v>CIUD</v>
          </cell>
          <cell r="D76" t="str">
            <v>Liberada</v>
          </cell>
          <cell r="E76" t="str">
            <v>No</v>
          </cell>
          <cell r="F76">
            <v>46240</v>
          </cell>
          <cell r="G76" t="str">
            <v>O</v>
          </cell>
          <cell r="H76" t="str">
            <v>AF461DB</v>
          </cell>
          <cell r="I76" t="str">
            <v>PALETERO S.PA.3E.71 2+1</v>
          </cell>
          <cell r="J76" t="str">
            <v>Múltiples repuestos</v>
          </cell>
          <cell r="K76" t="str">
            <v>Ok Contabilizar Si Corresponde</v>
          </cell>
          <cell r="L76"/>
        </row>
        <row r="77">
          <cell r="A77" t="str">
            <v>38397</v>
          </cell>
          <cell r="B77" t="str">
            <v>Correctivo</v>
          </cell>
          <cell r="C77" t="str">
            <v>SRAF</v>
          </cell>
          <cell r="D77" t="str">
            <v>Liberada</v>
          </cell>
          <cell r="E77" t="str">
            <v>No</v>
          </cell>
          <cell r="F77">
            <v>46236</v>
          </cell>
          <cell r="G77" t="str">
            <v>O</v>
          </cell>
          <cell r="H77" t="str">
            <v>KUF605</v>
          </cell>
          <cell r="I77" t="str">
            <v>1634</v>
          </cell>
          <cell r="J77" t="str">
            <v>Sin tarea asociada</v>
          </cell>
          <cell r="K77" t="str">
            <v>Ok</v>
          </cell>
          <cell r="L77"/>
        </row>
        <row r="78">
          <cell r="A78" t="str">
            <v>38397</v>
          </cell>
          <cell r="B78" t="str">
            <v>Correctivo</v>
          </cell>
          <cell r="C78" t="str">
            <v>SRAF</v>
          </cell>
          <cell r="D78" t="str">
            <v>Liberada</v>
          </cell>
          <cell r="E78" t="str">
            <v>No</v>
          </cell>
          <cell r="F78">
            <v>46236</v>
          </cell>
          <cell r="G78" t="str">
            <v>O</v>
          </cell>
          <cell r="H78" t="str">
            <v>KUF605</v>
          </cell>
          <cell r="I78" t="str">
            <v>1634</v>
          </cell>
          <cell r="J78" t="str">
            <v>Sin tarea asociada</v>
          </cell>
          <cell r="K78" t="str">
            <v>Ok</v>
          </cell>
          <cell r="L78"/>
        </row>
        <row r="79">
          <cell r="A79" t="str">
            <v>38397</v>
          </cell>
          <cell r="B79" t="str">
            <v>Correctivo</v>
          </cell>
          <cell r="C79" t="str">
            <v>SRAF</v>
          </cell>
          <cell r="D79" t="str">
            <v>Liberada</v>
          </cell>
          <cell r="E79" t="str">
            <v>No</v>
          </cell>
          <cell r="F79">
            <v>46236</v>
          </cell>
          <cell r="G79" t="str">
            <v>O</v>
          </cell>
          <cell r="H79" t="str">
            <v>KUF605</v>
          </cell>
          <cell r="I79" t="str">
            <v>1634</v>
          </cell>
          <cell r="J79" t="str">
            <v>Sin tarea asociada</v>
          </cell>
          <cell r="K79" t="str">
            <v>Ok</v>
          </cell>
          <cell r="L79"/>
        </row>
        <row r="80">
          <cell r="A80" t="str">
            <v>38397</v>
          </cell>
          <cell r="B80" t="str">
            <v>Correctivo</v>
          </cell>
          <cell r="C80" t="str">
            <v>SRAF</v>
          </cell>
          <cell r="D80" t="str">
            <v>Liberada</v>
          </cell>
          <cell r="E80" t="str">
            <v>No</v>
          </cell>
          <cell r="F80">
            <v>46236</v>
          </cell>
          <cell r="G80" t="str">
            <v>O</v>
          </cell>
          <cell r="H80" t="str">
            <v>KUF605</v>
          </cell>
          <cell r="I80" t="str">
            <v>1634</v>
          </cell>
          <cell r="J80" t="str">
            <v>Sin tarea asociada</v>
          </cell>
          <cell r="K80" t="str">
            <v>Ok</v>
          </cell>
          <cell r="L80"/>
        </row>
        <row r="81">
          <cell r="A81" t="str">
            <v>38397</v>
          </cell>
          <cell r="B81" t="str">
            <v>Correctivo</v>
          </cell>
          <cell r="C81" t="str">
            <v>SRAF</v>
          </cell>
          <cell r="D81" t="str">
            <v>Liberada</v>
          </cell>
          <cell r="E81" t="str">
            <v>No</v>
          </cell>
          <cell r="F81">
            <v>46236</v>
          </cell>
          <cell r="G81" t="str">
            <v>O</v>
          </cell>
          <cell r="H81" t="str">
            <v>KUF605</v>
          </cell>
          <cell r="I81" t="str">
            <v>1634</v>
          </cell>
          <cell r="J81" t="str">
            <v>Sin tarea asociada</v>
          </cell>
          <cell r="K81" t="str">
            <v>Ok</v>
          </cell>
          <cell r="L81"/>
        </row>
        <row r="82">
          <cell r="A82" t="str">
            <v>38397</v>
          </cell>
          <cell r="B82" t="str">
            <v>Correctivo</v>
          </cell>
          <cell r="C82" t="str">
            <v>SRAF</v>
          </cell>
          <cell r="D82" t="str">
            <v>Liberada</v>
          </cell>
          <cell r="E82" t="str">
            <v>No</v>
          </cell>
          <cell r="F82">
            <v>46236</v>
          </cell>
          <cell r="G82" t="str">
            <v>O</v>
          </cell>
          <cell r="H82" t="str">
            <v>KUF605</v>
          </cell>
          <cell r="I82" t="str">
            <v>1634</v>
          </cell>
          <cell r="J82" t="str">
            <v>Sin tarea asociada</v>
          </cell>
          <cell r="K82" t="str">
            <v>Ok</v>
          </cell>
          <cell r="L82"/>
        </row>
        <row r="83">
          <cell r="A83" t="str">
            <v>38397</v>
          </cell>
          <cell r="B83" t="str">
            <v>Correctivo</v>
          </cell>
          <cell r="C83" t="str">
            <v>SRAF</v>
          </cell>
          <cell r="D83" t="str">
            <v>Liberada</v>
          </cell>
          <cell r="E83" t="str">
            <v>No</v>
          </cell>
          <cell r="F83">
            <v>46236</v>
          </cell>
          <cell r="G83" t="str">
            <v>O</v>
          </cell>
          <cell r="H83" t="str">
            <v>KUF605</v>
          </cell>
          <cell r="I83" t="str">
            <v>1634</v>
          </cell>
          <cell r="J83" t="str">
            <v>Sin tarea asociada</v>
          </cell>
          <cell r="K83" t="str">
            <v>Ok</v>
          </cell>
          <cell r="L83"/>
        </row>
        <row r="84">
          <cell r="A84" t="str">
            <v>38401</v>
          </cell>
          <cell r="B84" t="str">
            <v>Correctivo</v>
          </cell>
          <cell r="C84" t="str">
            <v>SRAF</v>
          </cell>
          <cell r="D84" t="str">
            <v>Liberada</v>
          </cell>
          <cell r="E84" t="str">
            <v>No</v>
          </cell>
          <cell r="F84">
            <v>46236</v>
          </cell>
          <cell r="G84" t="str">
            <v>O</v>
          </cell>
          <cell r="H84" t="str">
            <v>JCF735</v>
          </cell>
          <cell r="I84" t="str">
            <v>1318</v>
          </cell>
          <cell r="J84" t="str">
            <v>Sin tarea que requiera material</v>
          </cell>
          <cell r="K84" t="str">
            <v>Falta Tarea</v>
          </cell>
          <cell r="L84"/>
        </row>
        <row r="85">
          <cell r="A85" t="str">
            <v>38401</v>
          </cell>
          <cell r="B85" t="str">
            <v>Correctivo</v>
          </cell>
          <cell r="C85" t="str">
            <v>SRAF</v>
          </cell>
          <cell r="D85" t="str">
            <v>Liberada</v>
          </cell>
          <cell r="E85" t="str">
            <v>No</v>
          </cell>
          <cell r="F85">
            <v>46236</v>
          </cell>
          <cell r="G85" t="str">
            <v>O</v>
          </cell>
          <cell r="H85" t="str">
            <v>JCF735</v>
          </cell>
          <cell r="I85" t="str">
            <v>1318</v>
          </cell>
          <cell r="J85" t="str">
            <v>Sin tarea que requiera material</v>
          </cell>
          <cell r="K85" t="str">
            <v>Falta Tarea</v>
          </cell>
          <cell r="L85"/>
        </row>
        <row r="86">
          <cell r="A86" t="str">
            <v>38425</v>
          </cell>
          <cell r="B86" t="str">
            <v>Insumo</v>
          </cell>
          <cell r="C86" t="str">
            <v>SRAF</v>
          </cell>
          <cell r="D86" t="str">
            <v>Liberada</v>
          </cell>
          <cell r="E86" t="str">
            <v>No</v>
          </cell>
          <cell r="F86">
            <v>46237</v>
          </cell>
          <cell r="G86"/>
          <cell r="H86" t="str">
            <v>INSUMOS SRF</v>
          </cell>
          <cell r="I86" t="str">
            <v>INSUMOS SAN RAFAEL</v>
          </cell>
          <cell r="J86" t="str">
            <v>Sin tarea que requiera material</v>
          </cell>
          <cell r="K86" t="str">
            <v>Falta Consumo</v>
          </cell>
          <cell r="L86"/>
        </row>
        <row r="87">
          <cell r="A87" t="str">
            <v>38524</v>
          </cell>
          <cell r="B87" t="str">
            <v>Correctivo</v>
          </cell>
          <cell r="C87" t="str">
            <v>MNZA</v>
          </cell>
          <cell r="D87" t="str">
            <v>Liberada</v>
          </cell>
          <cell r="E87" t="str">
            <v>No</v>
          </cell>
          <cell r="F87">
            <v>46238</v>
          </cell>
          <cell r="G87" t="str">
            <v>O</v>
          </cell>
          <cell r="H87" t="str">
            <v>AUTOELEVADOR HELI</v>
          </cell>
          <cell r="I87" t="str">
            <v>H SERIE</v>
          </cell>
          <cell r="J87" t="str">
            <v>Sin tarea asociada</v>
          </cell>
          <cell r="K87" t="str">
            <v>Falta Tarea</v>
          </cell>
          <cell r="L87"/>
        </row>
        <row r="88">
          <cell r="A88" t="str">
            <v>38548</v>
          </cell>
          <cell r="B88" t="str">
            <v>Insumo</v>
          </cell>
          <cell r="C88" t="str">
            <v>SRAF</v>
          </cell>
          <cell r="D88" t="str">
            <v>Liberada</v>
          </cell>
          <cell r="E88" t="str">
            <v>No</v>
          </cell>
          <cell r="F88">
            <v>46239</v>
          </cell>
          <cell r="G88"/>
          <cell r="H88" t="str">
            <v>INSUMOS SRF</v>
          </cell>
          <cell r="I88" t="str">
            <v>INSUMOS SAN RAFAEL</v>
          </cell>
          <cell r="J88" t="str">
            <v>Sin tarea que requiera material</v>
          </cell>
          <cell r="K88" t="str">
            <v>Falta Consumo</v>
          </cell>
          <cell r="L88"/>
        </row>
        <row r="89">
          <cell r="A89" t="str">
            <v>38548</v>
          </cell>
          <cell r="B89" t="str">
            <v>Insumo</v>
          </cell>
          <cell r="C89" t="str">
            <v>SRAF</v>
          </cell>
          <cell r="D89" t="str">
            <v>Liberada</v>
          </cell>
          <cell r="E89" t="str">
            <v>No</v>
          </cell>
          <cell r="F89">
            <v>46239</v>
          </cell>
          <cell r="G89"/>
          <cell r="H89" t="str">
            <v>INSUMOS SRF</v>
          </cell>
          <cell r="I89" t="str">
            <v>INSUMOS SAN RAFAEL</v>
          </cell>
          <cell r="J89" t="str">
            <v>Sin tarea que requiera material</v>
          </cell>
          <cell r="K89" t="str">
            <v>Falta Consumo</v>
          </cell>
          <cell r="L89"/>
        </row>
        <row r="90">
          <cell r="A90" t="str">
            <v>38548</v>
          </cell>
          <cell r="B90" t="str">
            <v>Insumo</v>
          </cell>
          <cell r="C90" t="str">
            <v>SRAF</v>
          </cell>
          <cell r="D90" t="str">
            <v>Liberada</v>
          </cell>
          <cell r="E90" t="str">
            <v>No</v>
          </cell>
          <cell r="F90">
            <v>46239</v>
          </cell>
          <cell r="G90"/>
          <cell r="H90" t="str">
            <v>INSUMOS SRF</v>
          </cell>
          <cell r="I90" t="str">
            <v>INSUMOS SAN RAFAEL</v>
          </cell>
          <cell r="J90" t="str">
            <v>Sin tarea que requiera material</v>
          </cell>
          <cell r="K90" t="str">
            <v>Falta Consumo</v>
          </cell>
          <cell r="L90"/>
        </row>
        <row r="91">
          <cell r="A91" t="str">
            <v>38556</v>
          </cell>
          <cell r="B91" t="str">
            <v>Correctivo</v>
          </cell>
          <cell r="C91" t="str">
            <v>MNZA</v>
          </cell>
          <cell r="D91" t="str">
            <v>Liberada</v>
          </cell>
          <cell r="E91" t="str">
            <v>No</v>
          </cell>
          <cell r="F91">
            <v>46239</v>
          </cell>
          <cell r="G91" t="str">
            <v>O</v>
          </cell>
          <cell r="H91" t="str">
            <v>GUW657</v>
          </cell>
          <cell r="I91" t="str">
            <v>1624</v>
          </cell>
          <cell r="J91" t="str">
            <v>Sin tarea asociada</v>
          </cell>
          <cell r="K91" t="str">
            <v>Falta Tarea</v>
          </cell>
          <cell r="L91"/>
        </row>
        <row r="92">
          <cell r="A92" t="str">
            <v>38556</v>
          </cell>
          <cell r="B92" t="str">
            <v>Correctivo</v>
          </cell>
          <cell r="C92" t="str">
            <v>MNZA</v>
          </cell>
          <cell r="D92" t="str">
            <v>Liberada</v>
          </cell>
          <cell r="E92" t="str">
            <v>No</v>
          </cell>
          <cell r="F92">
            <v>46239</v>
          </cell>
          <cell r="G92" t="str">
            <v>O</v>
          </cell>
          <cell r="H92" t="str">
            <v>GUW657</v>
          </cell>
          <cell r="I92" t="str">
            <v>1624</v>
          </cell>
          <cell r="J92" t="str">
            <v>Sin tarea asociada</v>
          </cell>
          <cell r="K92" t="str">
            <v>Falta Tarea</v>
          </cell>
          <cell r="L92"/>
        </row>
        <row r="93">
          <cell r="A93" t="str">
            <v>38556</v>
          </cell>
          <cell r="B93" t="str">
            <v>Correctivo</v>
          </cell>
          <cell r="C93" t="str">
            <v>MNZA</v>
          </cell>
          <cell r="D93" t="str">
            <v>Liberada</v>
          </cell>
          <cell r="E93" t="str">
            <v>No</v>
          </cell>
          <cell r="F93">
            <v>46239</v>
          </cell>
          <cell r="G93" t="str">
            <v>O</v>
          </cell>
          <cell r="H93" t="str">
            <v>GUW657</v>
          </cell>
          <cell r="I93" t="str">
            <v>1624</v>
          </cell>
          <cell r="J93" t="str">
            <v>Sin tarea asociada</v>
          </cell>
          <cell r="K93" t="str">
            <v>Falta Tarea</v>
          </cell>
          <cell r="L93"/>
        </row>
        <row r="94">
          <cell r="A94" t="str">
            <v>38556</v>
          </cell>
          <cell r="B94" t="str">
            <v>Correctivo</v>
          </cell>
          <cell r="C94" t="str">
            <v>MNZA</v>
          </cell>
          <cell r="D94" t="str">
            <v>Liberada</v>
          </cell>
          <cell r="E94" t="str">
            <v>No</v>
          </cell>
          <cell r="F94">
            <v>46239</v>
          </cell>
          <cell r="G94" t="str">
            <v>O</v>
          </cell>
          <cell r="H94" t="str">
            <v>GUW657</v>
          </cell>
          <cell r="I94" t="str">
            <v>1624</v>
          </cell>
          <cell r="J94" t="str">
            <v>Sin tarea asociada</v>
          </cell>
          <cell r="K94" t="str">
            <v>Falta Tarea</v>
          </cell>
          <cell r="L94"/>
        </row>
        <row r="95">
          <cell r="A95" t="str">
            <v>38556</v>
          </cell>
          <cell r="B95" t="str">
            <v>Correctivo</v>
          </cell>
          <cell r="C95" t="str">
            <v>MNZA</v>
          </cell>
          <cell r="D95" t="str">
            <v>Liberada</v>
          </cell>
          <cell r="E95" t="str">
            <v>No</v>
          </cell>
          <cell r="F95">
            <v>46239</v>
          </cell>
          <cell r="G95" t="str">
            <v>O</v>
          </cell>
          <cell r="H95" t="str">
            <v>GUW657</v>
          </cell>
          <cell r="I95" t="str">
            <v>1624</v>
          </cell>
          <cell r="J95" t="str">
            <v>Sin tarea asociada</v>
          </cell>
          <cell r="K95" t="str">
            <v>Falta Tarea</v>
          </cell>
          <cell r="L95"/>
        </row>
        <row r="96">
          <cell r="A96" t="str">
            <v>38557</v>
          </cell>
          <cell r="B96" t="str">
            <v>Correctivo</v>
          </cell>
          <cell r="C96" t="str">
            <v>SRAF</v>
          </cell>
          <cell r="D96" t="str">
            <v>Liberada</v>
          </cell>
          <cell r="E96" t="str">
            <v>No</v>
          </cell>
          <cell r="F96">
            <v>46239</v>
          </cell>
          <cell r="G96" t="str">
            <v>O</v>
          </cell>
          <cell r="H96" t="str">
            <v>IDX164</v>
          </cell>
          <cell r="I96" t="str">
            <v>AXOR 1933</v>
          </cell>
          <cell r="J96" t="str">
            <v>Sin tarea que requiera material</v>
          </cell>
          <cell r="K96" t="str">
            <v>Falta Tarea</v>
          </cell>
          <cell r="L96"/>
        </row>
        <row r="97">
          <cell r="A97" t="str">
            <v>38559</v>
          </cell>
          <cell r="B97" t="str">
            <v>Correctivo</v>
          </cell>
          <cell r="C97" t="str">
            <v>CIUD</v>
          </cell>
          <cell r="D97" t="str">
            <v>Cerrada</v>
          </cell>
          <cell r="E97" t="str">
            <v>No</v>
          </cell>
          <cell r="F97">
            <v>46239</v>
          </cell>
          <cell r="G97" t="str">
            <v>O</v>
          </cell>
          <cell r="H97" t="str">
            <v>BVH267</v>
          </cell>
          <cell r="I97" t="str">
            <v>914</v>
          </cell>
          <cell r="J97" t="str">
            <v>Sin tarea asociada</v>
          </cell>
          <cell r="K97" t="str">
            <v>Ok</v>
          </cell>
          <cell r="L97"/>
        </row>
        <row r="98">
          <cell r="A98" t="str">
            <v>38559</v>
          </cell>
          <cell r="B98" t="str">
            <v>Correctivo</v>
          </cell>
          <cell r="C98" t="str">
            <v>CIUD</v>
          </cell>
          <cell r="D98" t="str">
            <v>Cerrada</v>
          </cell>
          <cell r="E98" t="str">
            <v>No</v>
          </cell>
          <cell r="F98">
            <v>46239</v>
          </cell>
          <cell r="G98" t="str">
            <v>O</v>
          </cell>
          <cell r="H98" t="str">
            <v>BVH267</v>
          </cell>
          <cell r="I98" t="str">
            <v>914</v>
          </cell>
          <cell r="J98" t="str">
            <v>Sin tarea asociada</v>
          </cell>
          <cell r="K98" t="str">
            <v>Ok</v>
          </cell>
          <cell r="L98"/>
        </row>
        <row r="99">
          <cell r="A99" t="str">
            <v>38559</v>
          </cell>
          <cell r="B99" t="str">
            <v>Correctivo</v>
          </cell>
          <cell r="C99" t="str">
            <v>CIUD</v>
          </cell>
          <cell r="D99" t="str">
            <v>Cerrada</v>
          </cell>
          <cell r="E99" t="str">
            <v>No</v>
          </cell>
          <cell r="F99">
            <v>46239</v>
          </cell>
          <cell r="G99" t="str">
            <v>O</v>
          </cell>
          <cell r="H99" t="str">
            <v>BVH267</v>
          </cell>
          <cell r="I99" t="str">
            <v>914</v>
          </cell>
          <cell r="J99" t="str">
            <v>Sin tarea asociada</v>
          </cell>
          <cell r="K99" t="str">
            <v>Ok</v>
          </cell>
          <cell r="L99"/>
        </row>
        <row r="100">
          <cell r="A100" t="str">
            <v>38559</v>
          </cell>
          <cell r="B100" t="str">
            <v>Correctivo</v>
          </cell>
          <cell r="C100" t="str">
            <v>CIUD</v>
          </cell>
          <cell r="D100" t="str">
            <v>Cerrada</v>
          </cell>
          <cell r="E100" t="str">
            <v>No</v>
          </cell>
          <cell r="F100">
            <v>46239</v>
          </cell>
          <cell r="G100" t="str">
            <v>O</v>
          </cell>
          <cell r="H100" t="str">
            <v>BVH267</v>
          </cell>
          <cell r="I100" t="str">
            <v>914</v>
          </cell>
          <cell r="J100" t="str">
            <v>Sin tarea asociada</v>
          </cell>
          <cell r="K100" t="str">
            <v>Ok</v>
          </cell>
          <cell r="L100"/>
        </row>
        <row r="101">
          <cell r="A101" t="str">
            <v>38597</v>
          </cell>
          <cell r="B101" t="str">
            <v>Correctivo</v>
          </cell>
          <cell r="C101" t="str">
            <v>SRAF</v>
          </cell>
          <cell r="D101" t="str">
            <v>Liberada</v>
          </cell>
          <cell r="E101" t="str">
            <v>No</v>
          </cell>
          <cell r="F101">
            <v>46240</v>
          </cell>
          <cell r="G101" t="str">
            <v>O</v>
          </cell>
          <cell r="H101" t="str">
            <v>HRJ002</v>
          </cell>
          <cell r="I101" t="str">
            <v>1318</v>
          </cell>
          <cell r="J101" t="str">
            <v>Sin tarea que requiera material</v>
          </cell>
          <cell r="K101" t="str">
            <v>Falta Tarea</v>
          </cell>
          <cell r="L101"/>
        </row>
        <row r="102">
          <cell r="A102" t="str">
            <v>38597</v>
          </cell>
          <cell r="B102" t="str">
            <v>Correctivo</v>
          </cell>
          <cell r="C102" t="str">
            <v>SRAF</v>
          </cell>
          <cell r="D102" t="str">
            <v>Liberada</v>
          </cell>
          <cell r="E102" t="str">
            <v>No</v>
          </cell>
          <cell r="F102">
            <v>46240</v>
          </cell>
          <cell r="G102" t="str">
            <v>O</v>
          </cell>
          <cell r="H102" t="str">
            <v>HRJ002</v>
          </cell>
          <cell r="I102" t="str">
            <v>1318</v>
          </cell>
          <cell r="J102" t="str">
            <v>Sin tarea que requiera material</v>
          </cell>
          <cell r="K102" t="str">
            <v>Falta Tarea</v>
          </cell>
          <cell r="L102"/>
        </row>
        <row r="103">
          <cell r="A103" t="str">
            <v>38597</v>
          </cell>
          <cell r="B103" t="str">
            <v>Correctivo</v>
          </cell>
          <cell r="C103" t="str">
            <v>SRAF</v>
          </cell>
          <cell r="D103" t="str">
            <v>Liberada</v>
          </cell>
          <cell r="E103" t="str">
            <v>No</v>
          </cell>
          <cell r="F103">
            <v>46240</v>
          </cell>
          <cell r="G103" t="str">
            <v>O</v>
          </cell>
          <cell r="H103" t="str">
            <v>HRJ002</v>
          </cell>
          <cell r="I103" t="str">
            <v>1318</v>
          </cell>
          <cell r="J103" t="str">
            <v>Sin tarea que requiera material</v>
          </cell>
          <cell r="K103" t="str">
            <v>Falta Tarea</v>
          </cell>
          <cell r="L103"/>
        </row>
        <row r="104">
          <cell r="A104" t="str">
            <v>38597</v>
          </cell>
          <cell r="B104" t="str">
            <v>Correctivo</v>
          </cell>
          <cell r="C104" t="str">
            <v>SRAF</v>
          </cell>
          <cell r="D104" t="str">
            <v>Liberada</v>
          </cell>
          <cell r="E104" t="str">
            <v>No</v>
          </cell>
          <cell r="F104">
            <v>46240</v>
          </cell>
          <cell r="G104" t="str">
            <v>O</v>
          </cell>
          <cell r="H104" t="str">
            <v>HRJ002</v>
          </cell>
          <cell r="I104" t="str">
            <v>1318</v>
          </cell>
          <cell r="J104" t="str">
            <v>Sin tarea que requiera material</v>
          </cell>
          <cell r="K104" t="str">
            <v>Falta Tarea</v>
          </cell>
          <cell r="L104"/>
        </row>
        <row r="105">
          <cell r="A105" t="str">
            <v>38600</v>
          </cell>
          <cell r="B105" t="str">
            <v>Correctivo</v>
          </cell>
          <cell r="C105" t="str">
            <v>CIUD</v>
          </cell>
          <cell r="D105" t="str">
            <v>Liberada</v>
          </cell>
          <cell r="E105" t="str">
            <v>No</v>
          </cell>
          <cell r="F105">
            <v>46240</v>
          </cell>
          <cell r="G105" t="str">
            <v>O</v>
          </cell>
          <cell r="H105" t="str">
            <v>AF461DB</v>
          </cell>
          <cell r="I105" t="str">
            <v>PALETERO S.PA.3E.71 2+1</v>
          </cell>
          <cell r="J105" t="str">
            <v>Sin tarea asociada</v>
          </cell>
          <cell r="K105" t="str">
            <v>Ok Contabilizar Si Corresponde</v>
          </cell>
          <cell r="L105"/>
        </row>
        <row r="106">
          <cell r="A106" t="str">
            <v>38600</v>
          </cell>
          <cell r="B106" t="str">
            <v>Correctivo</v>
          </cell>
          <cell r="C106" t="str">
            <v>CIUD</v>
          </cell>
          <cell r="D106" t="str">
            <v>Liberada</v>
          </cell>
          <cell r="E106" t="str">
            <v>No</v>
          </cell>
          <cell r="F106">
            <v>46240</v>
          </cell>
          <cell r="G106" t="str">
            <v>O</v>
          </cell>
          <cell r="H106" t="str">
            <v>AF461DB</v>
          </cell>
          <cell r="I106" t="str">
            <v>PALETERO S.PA.3E.71 2+1</v>
          </cell>
          <cell r="J106" t="str">
            <v>Sin tarea asociada</v>
          </cell>
          <cell r="K106" t="str">
            <v>Ok Contabilizar Si Corresponde</v>
          </cell>
          <cell r="L106"/>
        </row>
        <row r="107">
          <cell r="A107" t="str">
            <v>38634</v>
          </cell>
          <cell r="B107" t="str">
            <v>Correctivo</v>
          </cell>
          <cell r="C107" t="str">
            <v>CIUD</v>
          </cell>
          <cell r="D107" t="str">
            <v>Liberada</v>
          </cell>
          <cell r="E107" t="str">
            <v>No</v>
          </cell>
          <cell r="F107">
            <v>46241</v>
          </cell>
          <cell r="G107" t="str">
            <v>O</v>
          </cell>
          <cell r="H107" t="str">
            <v>AD426HW</v>
          </cell>
          <cell r="I107" t="str">
            <v>AXOR 2541</v>
          </cell>
          <cell r="J107" t="str">
            <v>Sin tarea asociada</v>
          </cell>
          <cell r="K107" t="str">
            <v>Ok</v>
          </cell>
          <cell r="L107"/>
        </row>
        <row r="108">
          <cell r="A108" t="str">
            <v>38634</v>
          </cell>
          <cell r="B108" t="str">
            <v>Correctivo</v>
          </cell>
          <cell r="C108" t="str">
            <v>CIUD</v>
          </cell>
          <cell r="D108" t="str">
            <v>Liberada</v>
          </cell>
          <cell r="E108" t="str">
            <v>No</v>
          </cell>
          <cell r="F108">
            <v>46241</v>
          </cell>
          <cell r="G108" t="str">
            <v>O</v>
          </cell>
          <cell r="H108" t="str">
            <v>AD426HW</v>
          </cell>
          <cell r="I108" t="str">
            <v>AXOR 2541</v>
          </cell>
          <cell r="J108" t="str">
            <v>Sin tarea asociada</v>
          </cell>
          <cell r="K108" t="str">
            <v>Ok</v>
          </cell>
          <cell r="L108"/>
        </row>
        <row r="109">
          <cell r="A109" t="str">
            <v>38970</v>
          </cell>
          <cell r="B109" t="str">
            <v>Correctivo</v>
          </cell>
          <cell r="C109" t="str">
            <v>MNZA</v>
          </cell>
          <cell r="D109" t="str">
            <v>Liberada</v>
          </cell>
          <cell r="E109" t="str">
            <v>No</v>
          </cell>
          <cell r="F109">
            <v>46241</v>
          </cell>
          <cell r="G109" t="str">
            <v>O</v>
          </cell>
          <cell r="H109" t="str">
            <v>GKK500</v>
          </cell>
          <cell r="I109" t="str">
            <v>1624</v>
          </cell>
          <cell r="J109" t="str">
            <v>Sin tarea asociada</v>
          </cell>
          <cell r="K109" t="str">
            <v>Ok</v>
          </cell>
          <cell r="L109"/>
        </row>
        <row r="110">
          <cell r="A110" t="str">
            <v>38975</v>
          </cell>
          <cell r="B110" t="str">
            <v>Correctivo</v>
          </cell>
          <cell r="C110" t="str">
            <v>MNZA</v>
          </cell>
          <cell r="D110" t="str">
            <v>Liberada</v>
          </cell>
          <cell r="E110" t="str">
            <v>No</v>
          </cell>
          <cell r="F110">
            <v>46240</v>
          </cell>
          <cell r="G110" t="str">
            <v>O</v>
          </cell>
          <cell r="H110" t="str">
            <v>AUTOELEVADOR HELI</v>
          </cell>
          <cell r="I110" t="str">
            <v>H SERIE</v>
          </cell>
          <cell r="J110" t="str">
            <v>Sin tarea asociada</v>
          </cell>
          <cell r="K110" t="str">
            <v>Falta Consumo</v>
          </cell>
          <cell r="L110"/>
        </row>
        <row r="111">
          <cell r="A111" t="str">
            <v>38996</v>
          </cell>
          <cell r="B111" t="str">
            <v>Correctivo</v>
          </cell>
          <cell r="C111" t="str">
            <v>CIUD</v>
          </cell>
          <cell r="D111" t="str">
            <v>Cerrada</v>
          </cell>
          <cell r="E111" t="str">
            <v>No</v>
          </cell>
          <cell r="F111">
            <v>46244</v>
          </cell>
          <cell r="G111" t="str">
            <v>O</v>
          </cell>
          <cell r="H111" t="str">
            <v>AF066NZ</v>
          </cell>
          <cell r="I111" t="str">
            <v>TECTOR EVO 170E28</v>
          </cell>
          <cell r="J111" t="str">
            <v>Sin tarea asociada</v>
          </cell>
          <cell r="K111" t="str">
            <v>Ok</v>
          </cell>
          <cell r="L111"/>
        </row>
        <row r="112">
          <cell r="A112" t="str">
            <v>39000</v>
          </cell>
          <cell r="B112" t="str">
            <v>Correctivo</v>
          </cell>
          <cell r="C112" t="str">
            <v>CIUD</v>
          </cell>
          <cell r="D112" t="str">
            <v>Cerrada</v>
          </cell>
          <cell r="E112" t="str">
            <v>No</v>
          </cell>
          <cell r="F112">
            <v>46244</v>
          </cell>
          <cell r="G112" t="str">
            <v>O</v>
          </cell>
          <cell r="H112" t="str">
            <v>AF444TW</v>
          </cell>
          <cell r="I112" t="str">
            <v>TECTOR EVO 170E28</v>
          </cell>
          <cell r="J112" t="str">
            <v>Sin tarea asociada</v>
          </cell>
          <cell r="K112" t="str">
            <v>Falta Tarea</v>
          </cell>
          <cell r="L112"/>
        </row>
        <row r="113">
          <cell r="A113" t="str">
            <v>39004</v>
          </cell>
          <cell r="B113" t="str">
            <v>Insumo</v>
          </cell>
          <cell r="C113" t="str">
            <v>MNZA</v>
          </cell>
          <cell r="D113" t="str">
            <v>Liberada</v>
          </cell>
          <cell r="E113" t="str">
            <v>No</v>
          </cell>
          <cell r="F113">
            <v>46244</v>
          </cell>
          <cell r="G113"/>
          <cell r="H113" t="str">
            <v>ESTRUCTURA MZ</v>
          </cell>
          <cell r="I113" t="str">
            <v>ESTRUCTURA MENDOZA</v>
          </cell>
          <cell r="J113" t="str">
            <v>Sin tarea que requiera material</v>
          </cell>
          <cell r="K113" t="str">
            <v>Falta Consumo</v>
          </cell>
          <cell r="L113"/>
        </row>
        <row r="114">
          <cell r="A114" t="str">
            <v>39004</v>
          </cell>
          <cell r="B114" t="str">
            <v>Insumo</v>
          </cell>
          <cell r="C114" t="str">
            <v>MNZA</v>
          </cell>
          <cell r="D114" t="str">
            <v>Liberada</v>
          </cell>
          <cell r="E114" t="str">
            <v>No</v>
          </cell>
          <cell r="F114">
            <v>46244</v>
          </cell>
          <cell r="G114"/>
          <cell r="H114" t="str">
            <v>ESTRUCTURA MZ</v>
          </cell>
          <cell r="I114" t="str">
            <v>ESTRUCTURA MENDOZA</v>
          </cell>
          <cell r="J114" t="str">
            <v>Sin tarea que requiera material</v>
          </cell>
          <cell r="K114" t="str">
            <v>Falta Consumo</v>
          </cell>
          <cell r="L114"/>
        </row>
        <row r="115">
          <cell r="A115" t="str">
            <v>39004</v>
          </cell>
          <cell r="B115" t="str">
            <v>Insumo</v>
          </cell>
          <cell r="C115" t="str">
            <v>MNZA</v>
          </cell>
          <cell r="D115" t="str">
            <v>Liberada</v>
          </cell>
          <cell r="E115" t="str">
            <v>No</v>
          </cell>
          <cell r="F115">
            <v>46244</v>
          </cell>
          <cell r="G115"/>
          <cell r="H115" t="str">
            <v>ESTRUCTURA MZ</v>
          </cell>
          <cell r="I115" t="str">
            <v>ESTRUCTURA MENDOZA</v>
          </cell>
          <cell r="J115" t="str">
            <v>Sin tarea que requiera material</v>
          </cell>
          <cell r="K115" t="str">
            <v>Falta Consumo</v>
          </cell>
          <cell r="L115"/>
        </row>
        <row r="116">
          <cell r="A116" t="str">
            <v>39044</v>
          </cell>
          <cell r="B116" t="str">
            <v>Correctivo</v>
          </cell>
          <cell r="C116" t="str">
            <v>CIUD</v>
          </cell>
          <cell r="D116" t="str">
            <v>Liberada</v>
          </cell>
          <cell r="E116" t="str">
            <v>No</v>
          </cell>
          <cell r="F116">
            <v>46245</v>
          </cell>
          <cell r="G116" t="str">
            <v>O</v>
          </cell>
          <cell r="H116" t="str">
            <v>KMF921</v>
          </cell>
          <cell r="I116" t="str">
            <v>FTHDCFW3</v>
          </cell>
          <cell r="J116" t="str">
            <v>Sin tarea asociada</v>
          </cell>
          <cell r="K116" t="str">
            <v>Falta Consumo</v>
          </cell>
          <cell r="L116"/>
        </row>
        <row r="117">
          <cell r="A117" t="str">
            <v>39051</v>
          </cell>
          <cell r="B117" t="str">
            <v>Correctivo</v>
          </cell>
          <cell r="C117" t="str">
            <v>CIUD</v>
          </cell>
          <cell r="D117" t="str">
            <v>Liberada</v>
          </cell>
          <cell r="E117" t="str">
            <v>No</v>
          </cell>
          <cell r="F117">
            <v>46245</v>
          </cell>
          <cell r="G117" t="str">
            <v>O</v>
          </cell>
          <cell r="H117" t="str">
            <v>AF613YZ</v>
          </cell>
          <cell r="I117" t="str">
            <v>TECTOR EVO 170E28</v>
          </cell>
          <cell r="J117" t="str">
            <v>Sin tarea asociada</v>
          </cell>
          <cell r="K117" t="str">
            <v>Falta Consumo</v>
          </cell>
          <cell r="L117"/>
        </row>
        <row r="118">
          <cell r="A118" t="str">
            <v>39051</v>
          </cell>
          <cell r="B118" t="str">
            <v>Correctivo</v>
          </cell>
          <cell r="C118" t="str">
            <v>CIUD</v>
          </cell>
          <cell r="D118" t="str">
            <v>Liberada</v>
          </cell>
          <cell r="E118" t="str">
            <v>No</v>
          </cell>
          <cell r="F118">
            <v>46245</v>
          </cell>
          <cell r="G118" t="str">
            <v>O</v>
          </cell>
          <cell r="H118" t="str">
            <v>AF613YZ</v>
          </cell>
          <cell r="I118" t="str">
            <v>TECTOR EVO 170E28</v>
          </cell>
          <cell r="J118" t="str">
            <v>Sin tarea asociada</v>
          </cell>
          <cell r="K118" t="str">
            <v>Falta Consumo</v>
          </cell>
          <cell r="L118"/>
        </row>
        <row r="119">
          <cell r="A119" t="str">
            <v>39051</v>
          </cell>
          <cell r="B119" t="str">
            <v>Correctivo</v>
          </cell>
          <cell r="C119" t="str">
            <v>CIUD</v>
          </cell>
          <cell r="D119" t="str">
            <v>Liberada</v>
          </cell>
          <cell r="E119" t="str">
            <v>No</v>
          </cell>
          <cell r="F119">
            <v>46245</v>
          </cell>
          <cell r="G119" t="str">
            <v>O</v>
          </cell>
          <cell r="H119" t="str">
            <v>AF613YZ</v>
          </cell>
          <cell r="I119" t="str">
            <v>TECTOR EVO 170E28</v>
          </cell>
          <cell r="J119" t="str">
            <v>Sin tarea asociada</v>
          </cell>
          <cell r="K119" t="str">
            <v>Falta Consumo</v>
          </cell>
          <cell r="L119"/>
        </row>
        <row r="120">
          <cell r="A120" t="str">
            <v>39051</v>
          </cell>
          <cell r="B120" t="str">
            <v>Correctivo</v>
          </cell>
          <cell r="C120" t="str">
            <v>CIUD</v>
          </cell>
          <cell r="D120" t="str">
            <v>Liberada</v>
          </cell>
          <cell r="E120" t="str">
            <v>No</v>
          </cell>
          <cell r="F120">
            <v>46245</v>
          </cell>
          <cell r="G120" t="str">
            <v>O</v>
          </cell>
          <cell r="H120" t="str">
            <v>AF613YZ</v>
          </cell>
          <cell r="I120" t="str">
            <v>TECTOR EVO 170E28</v>
          </cell>
          <cell r="J120" t="str">
            <v>Sin tarea asociada</v>
          </cell>
          <cell r="K120" t="str">
            <v>Falta Consumo</v>
          </cell>
          <cell r="L120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tabSelected="1" topLeftCell="I1" workbookViewId="0">
      <selection activeCell="L1" sqref="K1:L1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24.109375" customWidth="1"/>
    <col min="13" max="13" width="15" customWidth="1"/>
    <col min="14" max="14" width="49" customWidth="1"/>
    <col min="15" max="15" width="80" style="17" customWidth="1"/>
    <col min="16" max="16" width="15" customWidth="1"/>
    <col min="17" max="17" width="23" customWidth="1"/>
    <col min="18" max="18" width="15" customWidth="1"/>
    <col min="19" max="19" width="19" customWidth="1"/>
    <col min="20" max="20" width="14.33203125" customWidth="1"/>
    <col min="21" max="21" width="21" bestFit="1" customWidth="1"/>
    <col min="22" max="22" width="16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229</v>
      </c>
      <c r="L1" s="10" t="s">
        <v>230</v>
      </c>
      <c r="M1" s="1" t="s">
        <v>10</v>
      </c>
      <c r="N1" s="1" t="s">
        <v>11</v>
      </c>
      <c r="O1" s="14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231</v>
      </c>
      <c r="U1" s="11" t="s">
        <v>232</v>
      </c>
      <c r="V1" s="12" t="s">
        <v>233</v>
      </c>
    </row>
    <row r="2" spans="1:22" x14ac:dyDescent="0.3">
      <c r="A2" s="18">
        <v>39046</v>
      </c>
      <c r="B2" s="18" t="s">
        <v>17</v>
      </c>
      <c r="C2" s="19" t="s">
        <v>18</v>
      </c>
      <c r="D2" s="18" t="s">
        <v>19</v>
      </c>
      <c r="E2" s="18" t="s">
        <v>20</v>
      </c>
      <c r="F2" s="20">
        <v>46246</v>
      </c>
      <c r="G2" s="18" t="s">
        <v>21</v>
      </c>
      <c r="H2" s="19" t="s">
        <v>22</v>
      </c>
      <c r="I2" s="19" t="s">
        <v>23</v>
      </c>
      <c r="J2" s="4" t="s">
        <v>24</v>
      </c>
      <c r="K2" s="4" t="str">
        <f>VLOOKUP(A2,[1]Auditoría!$A$2:$L$120,11,FALSE)</f>
        <v>Falta Consumo</v>
      </c>
      <c r="L2" s="4"/>
      <c r="M2" s="2" t="s">
        <v>25</v>
      </c>
      <c r="N2" s="3" t="s">
        <v>26</v>
      </c>
      <c r="O2" s="3" t="s">
        <v>27</v>
      </c>
      <c r="T2" s="13">
        <v>46248</v>
      </c>
      <c r="U2" s="13">
        <v>46247</v>
      </c>
    </row>
    <row r="3" spans="1:22" x14ac:dyDescent="0.3">
      <c r="A3" s="18">
        <v>39115</v>
      </c>
      <c r="B3" s="18" t="s">
        <v>17</v>
      </c>
      <c r="C3" s="19" t="s">
        <v>18</v>
      </c>
      <c r="D3" s="18" t="s">
        <v>19</v>
      </c>
      <c r="E3" s="18" t="s">
        <v>20</v>
      </c>
      <c r="F3" s="20">
        <v>46242</v>
      </c>
      <c r="G3" s="18" t="s">
        <v>21</v>
      </c>
      <c r="H3" s="19" t="s">
        <v>28</v>
      </c>
      <c r="I3" s="19" t="s">
        <v>29</v>
      </c>
      <c r="J3" s="7" t="s">
        <v>30</v>
      </c>
      <c r="K3" s="4" t="s">
        <v>235</v>
      </c>
      <c r="L3" s="7"/>
      <c r="M3" s="5" t="s">
        <v>31</v>
      </c>
      <c r="N3" s="6" t="s">
        <v>32</v>
      </c>
      <c r="O3" s="6" t="s">
        <v>33</v>
      </c>
      <c r="T3" s="13">
        <v>46248</v>
      </c>
    </row>
    <row r="4" spans="1:22" x14ac:dyDescent="0.3">
      <c r="A4" s="18">
        <v>38694</v>
      </c>
      <c r="B4" s="18" t="s">
        <v>17</v>
      </c>
      <c r="C4" s="19" t="s">
        <v>18</v>
      </c>
      <c r="D4" s="18" t="s">
        <v>19</v>
      </c>
      <c r="E4" s="18" t="s">
        <v>20</v>
      </c>
      <c r="F4" s="20">
        <v>46235</v>
      </c>
      <c r="G4" s="18" t="s">
        <v>21</v>
      </c>
      <c r="H4" s="19" t="s">
        <v>38</v>
      </c>
      <c r="I4" s="19" t="s">
        <v>39</v>
      </c>
      <c r="J4" s="4" t="s">
        <v>40</v>
      </c>
      <c r="K4" s="4" t="s">
        <v>234</v>
      </c>
      <c r="L4" s="4"/>
      <c r="M4" s="2" t="s">
        <v>25</v>
      </c>
      <c r="N4" s="3" t="s">
        <v>26</v>
      </c>
      <c r="O4" s="3" t="s">
        <v>41</v>
      </c>
      <c r="T4" s="13">
        <v>46248</v>
      </c>
    </row>
    <row r="5" spans="1:22" x14ac:dyDescent="0.3">
      <c r="A5" s="18">
        <v>38431</v>
      </c>
      <c r="B5" s="18" t="s">
        <v>17</v>
      </c>
      <c r="C5" s="19" t="s">
        <v>42</v>
      </c>
      <c r="D5" s="18" t="s">
        <v>19</v>
      </c>
      <c r="E5" s="18" t="s">
        <v>20</v>
      </c>
      <c r="F5" s="20">
        <v>46238</v>
      </c>
      <c r="G5" s="18" t="s">
        <v>21</v>
      </c>
      <c r="H5" s="19" t="s">
        <v>43</v>
      </c>
      <c r="I5" s="19" t="s">
        <v>44</v>
      </c>
      <c r="J5" s="4" t="s">
        <v>45</v>
      </c>
      <c r="K5" s="4" t="str">
        <f>VLOOKUP(A5,[1]Auditoría!$A$2:$L$120,11,FALSE)</f>
        <v>Falta Consumo</v>
      </c>
      <c r="L5" s="4"/>
      <c r="M5" s="2" t="s">
        <v>31</v>
      </c>
      <c r="N5" s="3" t="s">
        <v>26</v>
      </c>
      <c r="O5" s="3" t="s">
        <v>46</v>
      </c>
      <c r="T5" s="13">
        <v>46248</v>
      </c>
      <c r="U5" s="13">
        <v>46247</v>
      </c>
    </row>
    <row r="6" spans="1:22" x14ac:dyDescent="0.3">
      <c r="A6" s="18">
        <v>38994</v>
      </c>
      <c r="B6" s="18" t="s">
        <v>17</v>
      </c>
      <c r="C6" s="19" t="s">
        <v>42</v>
      </c>
      <c r="D6" s="18" t="s">
        <v>19</v>
      </c>
      <c r="E6" s="18" t="s">
        <v>20</v>
      </c>
      <c r="F6" s="20">
        <v>46245</v>
      </c>
      <c r="G6" s="18" t="s">
        <v>21</v>
      </c>
      <c r="H6" s="19" t="s">
        <v>47</v>
      </c>
      <c r="I6" s="19" t="s">
        <v>48</v>
      </c>
      <c r="J6" s="4" t="s">
        <v>49</v>
      </c>
      <c r="K6" s="4" t="s">
        <v>234</v>
      </c>
      <c r="L6" s="4"/>
      <c r="M6" s="5" t="s">
        <v>31</v>
      </c>
      <c r="N6" s="6" t="s">
        <v>26</v>
      </c>
      <c r="O6" s="6" t="s">
        <v>50</v>
      </c>
      <c r="T6" s="13">
        <v>46248</v>
      </c>
    </row>
    <row r="7" spans="1:22" x14ac:dyDescent="0.3">
      <c r="A7" s="18">
        <v>39002</v>
      </c>
      <c r="B7" s="18" t="s">
        <v>17</v>
      </c>
      <c r="C7" s="19" t="s">
        <v>42</v>
      </c>
      <c r="D7" s="18" t="s">
        <v>19</v>
      </c>
      <c r="E7" s="18" t="s">
        <v>20</v>
      </c>
      <c r="F7" s="20">
        <v>46246</v>
      </c>
      <c r="G7" s="18" t="s">
        <v>21</v>
      </c>
      <c r="H7" s="19" t="s">
        <v>51</v>
      </c>
      <c r="I7" s="19" t="s">
        <v>52</v>
      </c>
      <c r="J7" s="4" t="s">
        <v>53</v>
      </c>
      <c r="K7" s="4" t="s">
        <v>234</v>
      </c>
      <c r="L7" s="4"/>
      <c r="M7" s="2" t="s">
        <v>31</v>
      </c>
      <c r="N7" s="3" t="s">
        <v>26</v>
      </c>
      <c r="O7" s="3" t="s">
        <v>54</v>
      </c>
      <c r="T7" s="13">
        <v>46248</v>
      </c>
      <c r="U7" s="13">
        <v>46247</v>
      </c>
    </row>
    <row r="8" spans="1:22" x14ac:dyDescent="0.3">
      <c r="A8" s="18">
        <v>39128</v>
      </c>
      <c r="B8" s="18" t="s">
        <v>17</v>
      </c>
      <c r="C8" s="19" t="s">
        <v>18</v>
      </c>
      <c r="D8" s="18" t="s">
        <v>19</v>
      </c>
      <c r="E8" s="18" t="s">
        <v>20</v>
      </c>
      <c r="F8" s="20">
        <v>46244</v>
      </c>
      <c r="G8" s="18" t="s">
        <v>21</v>
      </c>
      <c r="H8" s="19" t="s">
        <v>58</v>
      </c>
      <c r="I8" s="19" t="s">
        <v>59</v>
      </c>
      <c r="J8" s="4" t="s">
        <v>60</v>
      </c>
      <c r="K8" s="4" t="s">
        <v>234</v>
      </c>
      <c r="L8" s="4"/>
      <c r="M8" s="2" t="s">
        <v>31</v>
      </c>
      <c r="N8" s="3" t="s">
        <v>26</v>
      </c>
      <c r="O8" s="3" t="s">
        <v>61</v>
      </c>
      <c r="T8" s="13">
        <v>46248</v>
      </c>
    </row>
    <row r="9" spans="1:22" x14ac:dyDescent="0.3">
      <c r="A9" s="18">
        <v>38411</v>
      </c>
      <c r="B9" s="18" t="s">
        <v>17</v>
      </c>
      <c r="C9" s="19" t="s">
        <v>62</v>
      </c>
      <c r="D9" s="18" t="s">
        <v>19</v>
      </c>
      <c r="E9" s="18" t="s">
        <v>20</v>
      </c>
      <c r="F9" s="20">
        <v>46237</v>
      </c>
      <c r="G9" s="18" t="s">
        <v>21</v>
      </c>
      <c r="H9" s="19" t="s">
        <v>63</v>
      </c>
      <c r="I9" s="19" t="s">
        <v>64</v>
      </c>
      <c r="J9" s="4" t="s">
        <v>65</v>
      </c>
      <c r="K9" s="4" t="str">
        <f>VLOOKUP(A9,[1]Auditoría!$A$2:$L$120,11,FALSE)</f>
        <v>Falta Consumo</v>
      </c>
      <c r="L9" s="4"/>
      <c r="M9" s="5" t="s">
        <v>25</v>
      </c>
      <c r="N9" s="6" t="s">
        <v>26</v>
      </c>
      <c r="O9" s="6" t="s">
        <v>66</v>
      </c>
      <c r="T9" s="13">
        <v>46248</v>
      </c>
      <c r="U9" s="13">
        <v>46247</v>
      </c>
    </row>
    <row r="10" spans="1:22" x14ac:dyDescent="0.3">
      <c r="A10" s="18">
        <v>38532</v>
      </c>
      <c r="B10" s="18" t="s">
        <v>67</v>
      </c>
      <c r="C10" s="19" t="s">
        <v>42</v>
      </c>
      <c r="D10" s="18" t="s">
        <v>19</v>
      </c>
      <c r="E10" s="18" t="s">
        <v>20</v>
      </c>
      <c r="F10" s="20">
        <v>46237</v>
      </c>
      <c r="G10" s="18" t="s">
        <v>21</v>
      </c>
      <c r="H10" s="19" t="s">
        <v>51</v>
      </c>
      <c r="I10" s="19" t="s">
        <v>52</v>
      </c>
      <c r="J10" s="4" t="s">
        <v>68</v>
      </c>
      <c r="K10" s="4" t="str">
        <f>VLOOKUP(A10,[1]Auditoría!$A$2:$L$120,11,FALSE)</f>
        <v>Falta Consumo</v>
      </c>
      <c r="L10" s="4"/>
      <c r="M10" s="5" t="s">
        <v>31</v>
      </c>
      <c r="N10" s="6" t="s">
        <v>26</v>
      </c>
      <c r="O10" s="6" t="s">
        <v>69</v>
      </c>
      <c r="T10" s="13">
        <v>46248</v>
      </c>
      <c r="U10" s="13">
        <v>46247</v>
      </c>
    </row>
    <row r="11" spans="1:22" x14ac:dyDescent="0.3">
      <c r="A11" s="18">
        <v>39155</v>
      </c>
      <c r="B11" s="18" t="s">
        <v>17</v>
      </c>
      <c r="C11" s="19" t="s">
        <v>18</v>
      </c>
      <c r="D11" s="18" t="s">
        <v>19</v>
      </c>
      <c r="E11" s="18" t="s">
        <v>20</v>
      </c>
      <c r="F11" s="20">
        <v>46245</v>
      </c>
      <c r="G11" s="18" t="s">
        <v>21</v>
      </c>
      <c r="H11" s="19" t="s">
        <v>70</v>
      </c>
      <c r="I11" s="19" t="s">
        <v>71</v>
      </c>
      <c r="J11" s="4" t="s">
        <v>72</v>
      </c>
      <c r="K11" s="4" t="s">
        <v>234</v>
      </c>
      <c r="L11" s="4"/>
      <c r="M11" s="5" t="s">
        <v>31</v>
      </c>
      <c r="N11" s="6" t="s">
        <v>26</v>
      </c>
      <c r="O11" s="6" t="s">
        <v>73</v>
      </c>
      <c r="T11" s="13">
        <v>46248</v>
      </c>
    </row>
    <row r="12" spans="1:22" x14ac:dyDescent="0.3">
      <c r="A12" s="18">
        <v>39235</v>
      </c>
      <c r="B12" s="18" t="s">
        <v>17</v>
      </c>
      <c r="C12" s="19" t="s">
        <v>18</v>
      </c>
      <c r="D12" s="18" t="s">
        <v>19</v>
      </c>
      <c r="E12" s="18" t="s">
        <v>20</v>
      </c>
      <c r="F12" s="20">
        <v>46247</v>
      </c>
      <c r="G12" s="18" t="s">
        <v>21</v>
      </c>
      <c r="H12" s="19" t="s">
        <v>74</v>
      </c>
      <c r="I12" s="19" t="s">
        <v>75</v>
      </c>
      <c r="J12" s="7" t="s">
        <v>37</v>
      </c>
      <c r="K12" s="4" t="s">
        <v>238</v>
      </c>
      <c r="L12" s="7"/>
      <c r="M12" s="2" t="s">
        <v>31</v>
      </c>
      <c r="N12" s="3" t="s">
        <v>32</v>
      </c>
      <c r="O12" s="3" t="s">
        <v>33</v>
      </c>
      <c r="T12" s="13">
        <v>46248</v>
      </c>
    </row>
    <row r="13" spans="1:22" x14ac:dyDescent="0.3">
      <c r="A13" s="18">
        <v>38964</v>
      </c>
      <c r="B13" s="18" t="s">
        <v>17</v>
      </c>
      <c r="C13" s="19" t="s">
        <v>18</v>
      </c>
      <c r="D13" s="18" t="s">
        <v>34</v>
      </c>
      <c r="E13" s="18" t="s">
        <v>20</v>
      </c>
      <c r="F13" s="20">
        <v>46244</v>
      </c>
      <c r="G13" s="18" t="s">
        <v>21</v>
      </c>
      <c r="H13" s="19" t="s">
        <v>76</v>
      </c>
      <c r="I13" s="19" t="s">
        <v>77</v>
      </c>
      <c r="J13" s="8" t="s">
        <v>37</v>
      </c>
      <c r="K13" s="4" t="str">
        <f>VLOOKUP(A13,[1]Auditoría!$A$2:$L$120,11,FALSE)</f>
        <v>Falta Material (315)</v>
      </c>
      <c r="L13" s="8"/>
      <c r="M13" s="5" t="s">
        <v>25</v>
      </c>
      <c r="N13" s="6" t="s">
        <v>56</v>
      </c>
      <c r="O13" s="6" t="s">
        <v>57</v>
      </c>
      <c r="T13" s="13">
        <v>46248</v>
      </c>
      <c r="U13" s="13">
        <v>46247</v>
      </c>
    </row>
    <row r="14" spans="1:22" x14ac:dyDescent="0.3">
      <c r="A14" s="18">
        <v>38534</v>
      </c>
      <c r="B14" s="18" t="s">
        <v>17</v>
      </c>
      <c r="C14" s="19" t="s">
        <v>42</v>
      </c>
      <c r="D14" s="18" t="s">
        <v>19</v>
      </c>
      <c r="E14" s="18" t="s">
        <v>20</v>
      </c>
      <c r="F14" s="20">
        <v>46239</v>
      </c>
      <c r="G14" s="18" t="s">
        <v>21</v>
      </c>
      <c r="H14" s="19" t="s">
        <v>79</v>
      </c>
      <c r="I14" s="19" t="s">
        <v>80</v>
      </c>
      <c r="J14" s="7" t="s">
        <v>81</v>
      </c>
      <c r="K14" s="4" t="str">
        <f>VLOOKUP(A14,[1]Auditoría!$A$2:$L$120,11,FALSE)</f>
        <v>Falta Material</v>
      </c>
      <c r="L14" s="7"/>
      <c r="M14" s="5" t="s">
        <v>31</v>
      </c>
      <c r="N14" s="6" t="s">
        <v>32</v>
      </c>
      <c r="O14" s="6" t="s">
        <v>33</v>
      </c>
      <c r="T14" s="13">
        <v>46248</v>
      </c>
      <c r="U14" s="13">
        <v>46247</v>
      </c>
    </row>
    <row r="15" spans="1:22" x14ac:dyDescent="0.3">
      <c r="A15" s="18">
        <v>39010</v>
      </c>
      <c r="B15" s="18" t="s">
        <v>17</v>
      </c>
      <c r="C15" s="19" t="s">
        <v>42</v>
      </c>
      <c r="D15" s="18" t="s">
        <v>19</v>
      </c>
      <c r="E15" s="18" t="s">
        <v>20</v>
      </c>
      <c r="F15" s="20">
        <v>46245</v>
      </c>
      <c r="G15" s="18" t="s">
        <v>21</v>
      </c>
      <c r="H15" s="19" t="s">
        <v>84</v>
      </c>
      <c r="I15" s="19" t="s">
        <v>85</v>
      </c>
      <c r="J15" s="7" t="s">
        <v>86</v>
      </c>
      <c r="K15" s="4" t="str">
        <f>VLOOKUP(A15,[1]Auditoría!$A$2:$L$120,11,FALSE)</f>
        <v>Falta Material</v>
      </c>
      <c r="L15" s="7"/>
      <c r="M15" s="5" t="s">
        <v>31</v>
      </c>
      <c r="N15" s="6" t="s">
        <v>32</v>
      </c>
      <c r="O15" s="6" t="s">
        <v>33</v>
      </c>
      <c r="T15" s="13">
        <v>46248</v>
      </c>
      <c r="U15" s="13">
        <v>46247</v>
      </c>
    </row>
    <row r="16" spans="1:22" x14ac:dyDescent="0.3">
      <c r="A16" s="18">
        <v>38431</v>
      </c>
      <c r="B16" s="18" t="s">
        <v>17</v>
      </c>
      <c r="C16" s="19" t="s">
        <v>42</v>
      </c>
      <c r="D16" s="18" t="s">
        <v>19</v>
      </c>
      <c r="E16" s="18" t="s">
        <v>20</v>
      </c>
      <c r="F16" s="20">
        <v>46238</v>
      </c>
      <c r="G16" s="18" t="s">
        <v>21</v>
      </c>
      <c r="H16" s="19" t="s">
        <v>43</v>
      </c>
      <c r="I16" s="19" t="s">
        <v>44</v>
      </c>
      <c r="J16" s="4" t="s">
        <v>93</v>
      </c>
      <c r="K16" s="4" t="str">
        <f>VLOOKUP(A16,[1]Auditoría!$A$2:$L$120,11,FALSE)</f>
        <v>Falta Consumo</v>
      </c>
      <c r="L16" s="4"/>
      <c r="M16" s="5" t="s">
        <v>31</v>
      </c>
      <c r="N16" s="6" t="s">
        <v>26</v>
      </c>
      <c r="O16" s="6" t="s">
        <v>46</v>
      </c>
      <c r="T16" s="13">
        <v>46248</v>
      </c>
      <c r="U16" s="13">
        <v>46247</v>
      </c>
    </row>
    <row r="17" spans="1:21" x14ac:dyDescent="0.3">
      <c r="A17" s="18">
        <v>38932</v>
      </c>
      <c r="B17" s="18" t="s">
        <v>17</v>
      </c>
      <c r="C17" s="19" t="s">
        <v>18</v>
      </c>
      <c r="D17" s="18" t="s">
        <v>19</v>
      </c>
      <c r="E17" s="18" t="s">
        <v>20</v>
      </c>
      <c r="F17" s="20">
        <v>46241</v>
      </c>
      <c r="G17" s="18" t="s">
        <v>21</v>
      </c>
      <c r="H17" s="19" t="s">
        <v>94</v>
      </c>
      <c r="I17" s="19" t="s">
        <v>95</v>
      </c>
      <c r="J17" s="4" t="s">
        <v>96</v>
      </c>
      <c r="K17" s="4" t="str">
        <f>VLOOKUP(A17,[1]Auditoría!$A$2:$L$120,11,FALSE)</f>
        <v>Falta Consumo</v>
      </c>
      <c r="L17" s="4"/>
      <c r="M17" s="2" t="s">
        <v>25</v>
      </c>
      <c r="N17" s="3" t="s">
        <v>26</v>
      </c>
      <c r="O17" s="3" t="s">
        <v>97</v>
      </c>
      <c r="T17" s="13">
        <v>46248</v>
      </c>
      <c r="U17" s="13">
        <v>46247</v>
      </c>
    </row>
    <row r="18" spans="1:21" x14ac:dyDescent="0.3">
      <c r="A18" s="18">
        <v>38936</v>
      </c>
      <c r="B18" s="18" t="s">
        <v>17</v>
      </c>
      <c r="C18" s="19" t="s">
        <v>18</v>
      </c>
      <c r="D18" s="18" t="s">
        <v>34</v>
      </c>
      <c r="E18" s="18" t="s">
        <v>20</v>
      </c>
      <c r="F18" s="20">
        <v>46241</v>
      </c>
      <c r="G18" s="18" t="s">
        <v>21</v>
      </c>
      <c r="H18" s="19" t="s">
        <v>88</v>
      </c>
      <c r="I18" s="19" t="s">
        <v>89</v>
      </c>
      <c r="J18" s="7" t="s">
        <v>98</v>
      </c>
      <c r="K18" s="4" t="str">
        <f>VLOOKUP(A18,[1]Auditoría!$A$2:$L$120,11,FALSE)</f>
        <v>Falta Material (315)</v>
      </c>
      <c r="L18" s="7"/>
      <c r="M18" s="5" t="s">
        <v>25</v>
      </c>
      <c r="N18" s="6" t="s">
        <v>32</v>
      </c>
      <c r="O18" s="6" t="s">
        <v>33</v>
      </c>
      <c r="T18" s="13">
        <v>46248</v>
      </c>
      <c r="U18" s="13">
        <v>46247</v>
      </c>
    </row>
    <row r="19" spans="1:21" x14ac:dyDescent="0.3">
      <c r="A19" s="18">
        <v>38606</v>
      </c>
      <c r="B19" s="18" t="s">
        <v>17</v>
      </c>
      <c r="C19" s="19" t="s">
        <v>42</v>
      </c>
      <c r="D19" s="18" t="s">
        <v>19</v>
      </c>
      <c r="E19" s="18" t="s">
        <v>20</v>
      </c>
      <c r="F19" s="20">
        <v>46241</v>
      </c>
      <c r="G19" s="18" t="s">
        <v>21</v>
      </c>
      <c r="H19" s="19" t="s">
        <v>51</v>
      </c>
      <c r="I19" s="19" t="s">
        <v>52</v>
      </c>
      <c r="J19" s="4" t="s">
        <v>45</v>
      </c>
      <c r="K19" s="4" t="str">
        <f>VLOOKUP(A19,[1]Auditoría!$A$2:$L$120,11,FALSE)</f>
        <v>Falta Consumo</v>
      </c>
      <c r="L19" s="4"/>
      <c r="M19" s="2" t="s">
        <v>31</v>
      </c>
      <c r="N19" s="3" t="s">
        <v>26</v>
      </c>
      <c r="O19" s="3" t="s">
        <v>99</v>
      </c>
      <c r="T19" s="13">
        <v>46248</v>
      </c>
      <c r="U19" s="13">
        <v>46247</v>
      </c>
    </row>
    <row r="20" spans="1:21" x14ac:dyDescent="0.3">
      <c r="A20" s="18">
        <v>38664</v>
      </c>
      <c r="B20" s="18" t="s">
        <v>17</v>
      </c>
      <c r="C20" s="19" t="s">
        <v>18</v>
      </c>
      <c r="D20" s="18" t="s">
        <v>34</v>
      </c>
      <c r="E20" s="18" t="s">
        <v>20</v>
      </c>
      <c r="F20" s="20">
        <v>46237</v>
      </c>
      <c r="G20" s="18" t="s">
        <v>21</v>
      </c>
      <c r="H20" s="19" t="s">
        <v>100</v>
      </c>
      <c r="I20" s="19" t="s">
        <v>89</v>
      </c>
      <c r="J20" s="7" t="s">
        <v>96</v>
      </c>
      <c r="K20" s="4" t="str">
        <f>VLOOKUP(A20,[1]Auditoría!$A$2:$L$120,11,FALSE)</f>
        <v>Falta Material</v>
      </c>
      <c r="L20" s="7"/>
      <c r="M20" s="5" t="s">
        <v>25</v>
      </c>
      <c r="N20" s="6" t="s">
        <v>32</v>
      </c>
      <c r="O20" s="6" t="s">
        <v>33</v>
      </c>
      <c r="T20" s="13">
        <v>46248</v>
      </c>
      <c r="U20" s="13">
        <v>46247</v>
      </c>
    </row>
    <row r="21" spans="1:21" x14ac:dyDescent="0.3">
      <c r="A21" s="18">
        <v>39130</v>
      </c>
      <c r="B21" s="18" t="s">
        <v>17</v>
      </c>
      <c r="C21" s="19" t="s">
        <v>18</v>
      </c>
      <c r="D21" s="18" t="s">
        <v>19</v>
      </c>
      <c r="E21" s="18" t="s">
        <v>20</v>
      </c>
      <c r="F21" s="20">
        <v>46244</v>
      </c>
      <c r="G21" s="18" t="s">
        <v>21</v>
      </c>
      <c r="H21" s="19" t="s">
        <v>101</v>
      </c>
      <c r="I21" s="19" t="s">
        <v>39</v>
      </c>
      <c r="J21" s="7" t="s">
        <v>30</v>
      </c>
      <c r="K21" s="4" t="s">
        <v>235</v>
      </c>
      <c r="L21" s="7"/>
      <c r="M21" s="2" t="s">
        <v>31</v>
      </c>
      <c r="N21" s="3" t="s">
        <v>32</v>
      </c>
      <c r="O21" s="3" t="s">
        <v>33</v>
      </c>
      <c r="T21" s="13">
        <v>46248</v>
      </c>
    </row>
    <row r="22" spans="1:21" x14ac:dyDescent="0.3">
      <c r="A22" s="18">
        <v>39151</v>
      </c>
      <c r="B22" s="18" t="s">
        <v>17</v>
      </c>
      <c r="C22" s="19" t="s">
        <v>18</v>
      </c>
      <c r="D22" s="18" t="s">
        <v>19</v>
      </c>
      <c r="E22" s="18" t="s">
        <v>20</v>
      </c>
      <c r="F22" s="20">
        <v>46245</v>
      </c>
      <c r="G22" s="18" t="s">
        <v>21</v>
      </c>
      <c r="H22" s="19" t="s">
        <v>88</v>
      </c>
      <c r="I22" s="19" t="s">
        <v>89</v>
      </c>
      <c r="J22" s="7" t="s">
        <v>103</v>
      </c>
      <c r="K22" s="4" t="s">
        <v>239</v>
      </c>
      <c r="L22" s="7"/>
      <c r="M22" s="5" t="s">
        <v>31</v>
      </c>
      <c r="N22" s="6" t="s">
        <v>32</v>
      </c>
      <c r="O22" s="6" t="s">
        <v>33</v>
      </c>
      <c r="T22" s="13">
        <v>46248</v>
      </c>
    </row>
    <row r="23" spans="1:21" x14ac:dyDescent="0.3">
      <c r="A23" s="18">
        <v>39233</v>
      </c>
      <c r="B23" s="18" t="s">
        <v>17</v>
      </c>
      <c r="C23" s="19" t="s">
        <v>18</v>
      </c>
      <c r="D23" s="18" t="s">
        <v>19</v>
      </c>
      <c r="E23" s="18" t="s">
        <v>20</v>
      </c>
      <c r="F23" s="20">
        <v>46247</v>
      </c>
      <c r="G23" s="18" t="s">
        <v>21</v>
      </c>
      <c r="H23" s="19" t="s">
        <v>104</v>
      </c>
      <c r="I23" s="19" t="s">
        <v>71</v>
      </c>
      <c r="J23" s="4" t="s">
        <v>105</v>
      </c>
      <c r="K23" s="4" t="s">
        <v>234</v>
      </c>
      <c r="L23" s="4"/>
      <c r="M23" s="5" t="s">
        <v>25</v>
      </c>
      <c r="N23" s="6" t="s">
        <v>26</v>
      </c>
      <c r="O23" s="6" t="s">
        <v>106</v>
      </c>
      <c r="T23" s="13">
        <v>46248</v>
      </c>
    </row>
    <row r="24" spans="1:21" x14ac:dyDescent="0.3">
      <c r="A24" s="18">
        <v>38860</v>
      </c>
      <c r="B24" s="18" t="s">
        <v>17</v>
      </c>
      <c r="C24" s="19" t="s">
        <v>18</v>
      </c>
      <c r="D24" s="18" t="s">
        <v>19</v>
      </c>
      <c r="E24" s="18" t="s">
        <v>20</v>
      </c>
      <c r="F24" s="20">
        <v>46239</v>
      </c>
      <c r="G24" s="18" t="s">
        <v>21</v>
      </c>
      <c r="H24" s="19" t="s">
        <v>107</v>
      </c>
      <c r="I24" s="19" t="s">
        <v>55</v>
      </c>
      <c r="J24" s="4" t="s">
        <v>108</v>
      </c>
      <c r="K24" s="4" t="str">
        <f>VLOOKUP(A24,[1]Auditoría!$A$2:$L$120,11,FALSE)</f>
        <v>Falta Consumo</v>
      </c>
      <c r="L24" s="4"/>
      <c r="M24" s="2" t="s">
        <v>25</v>
      </c>
      <c r="N24" s="3" t="s">
        <v>26</v>
      </c>
      <c r="O24" s="3" t="s">
        <v>83</v>
      </c>
      <c r="T24" s="13">
        <v>46248</v>
      </c>
      <c r="U24" s="13">
        <v>46247</v>
      </c>
    </row>
    <row r="25" spans="1:21" x14ac:dyDescent="0.3">
      <c r="A25" s="18">
        <v>38606</v>
      </c>
      <c r="B25" s="18" t="s">
        <v>17</v>
      </c>
      <c r="C25" s="19" t="s">
        <v>42</v>
      </c>
      <c r="D25" s="18" t="s">
        <v>19</v>
      </c>
      <c r="E25" s="18" t="s">
        <v>20</v>
      </c>
      <c r="F25" s="20">
        <v>46241</v>
      </c>
      <c r="G25" s="18" t="s">
        <v>21</v>
      </c>
      <c r="H25" s="19" t="s">
        <v>51</v>
      </c>
      <c r="I25" s="19" t="s">
        <v>52</v>
      </c>
      <c r="J25" s="4" t="s">
        <v>111</v>
      </c>
      <c r="K25" s="4" t="str">
        <f>VLOOKUP(A25,[1]Auditoría!$A$2:$L$120,11,FALSE)</f>
        <v>Falta Consumo</v>
      </c>
      <c r="L25" s="4"/>
      <c r="M25" s="5" t="s">
        <v>31</v>
      </c>
      <c r="N25" s="6" t="s">
        <v>26</v>
      </c>
      <c r="O25" s="6" t="s">
        <v>99</v>
      </c>
      <c r="T25" s="13">
        <v>46248</v>
      </c>
      <c r="U25" s="13">
        <v>46247</v>
      </c>
    </row>
    <row r="26" spans="1:21" x14ac:dyDescent="0.3">
      <c r="A26" s="18">
        <v>39129</v>
      </c>
      <c r="B26" s="18" t="s">
        <v>17</v>
      </c>
      <c r="C26" s="19" t="s">
        <v>18</v>
      </c>
      <c r="D26" s="18" t="s">
        <v>19</v>
      </c>
      <c r="E26" s="18" t="s">
        <v>20</v>
      </c>
      <c r="F26" s="20">
        <v>46244</v>
      </c>
      <c r="G26" s="18" t="s">
        <v>21</v>
      </c>
      <c r="H26" s="19" t="s">
        <v>112</v>
      </c>
      <c r="I26" s="19" t="s">
        <v>36</v>
      </c>
      <c r="J26" s="4" t="s">
        <v>113</v>
      </c>
      <c r="K26" s="4" t="s">
        <v>234</v>
      </c>
      <c r="L26" s="4"/>
      <c r="M26" s="2" t="s">
        <v>31</v>
      </c>
      <c r="N26" s="3" t="s">
        <v>26</v>
      </c>
      <c r="O26" s="3" t="s">
        <v>114</v>
      </c>
      <c r="T26" s="13">
        <v>46248</v>
      </c>
    </row>
    <row r="27" spans="1:21" x14ac:dyDescent="0.3">
      <c r="A27" s="18">
        <v>39113</v>
      </c>
      <c r="B27" s="18" t="s">
        <v>17</v>
      </c>
      <c r="C27" s="19" t="s">
        <v>18</v>
      </c>
      <c r="D27" s="18" t="s">
        <v>19</v>
      </c>
      <c r="E27" s="18" t="s">
        <v>20</v>
      </c>
      <c r="F27" s="20">
        <v>46242</v>
      </c>
      <c r="G27" s="18" t="s">
        <v>21</v>
      </c>
      <c r="H27" s="19" t="s">
        <v>115</v>
      </c>
      <c r="I27" s="19" t="s">
        <v>89</v>
      </c>
      <c r="J27" s="7" t="s">
        <v>116</v>
      </c>
      <c r="K27" s="4" t="s">
        <v>239</v>
      </c>
      <c r="L27" s="7"/>
      <c r="M27" s="5" t="s">
        <v>31</v>
      </c>
      <c r="N27" s="6" t="s">
        <v>32</v>
      </c>
      <c r="O27" s="6" t="s">
        <v>33</v>
      </c>
      <c r="T27" s="13">
        <v>46248</v>
      </c>
    </row>
    <row r="28" spans="1:21" x14ac:dyDescent="0.3">
      <c r="A28" s="18">
        <v>38694</v>
      </c>
      <c r="B28" s="18" t="s">
        <v>17</v>
      </c>
      <c r="C28" s="19" t="s">
        <v>18</v>
      </c>
      <c r="D28" s="18" t="s">
        <v>19</v>
      </c>
      <c r="E28" s="18" t="s">
        <v>20</v>
      </c>
      <c r="F28" s="20">
        <v>46235</v>
      </c>
      <c r="G28" s="18" t="s">
        <v>21</v>
      </c>
      <c r="H28" s="19" t="s">
        <v>38</v>
      </c>
      <c r="I28" s="19" t="s">
        <v>39</v>
      </c>
      <c r="J28" s="4" t="s">
        <v>72</v>
      </c>
      <c r="K28" s="4" t="s">
        <v>234</v>
      </c>
      <c r="L28" s="4"/>
      <c r="M28" s="2" t="s">
        <v>25</v>
      </c>
      <c r="N28" s="3" t="s">
        <v>26</v>
      </c>
      <c r="O28" s="3" t="s">
        <v>41</v>
      </c>
      <c r="T28" s="13">
        <v>46248</v>
      </c>
    </row>
    <row r="29" spans="1:21" x14ac:dyDescent="0.3">
      <c r="A29" s="18">
        <v>38441</v>
      </c>
      <c r="B29" s="18" t="s">
        <v>17</v>
      </c>
      <c r="C29" s="19" t="s">
        <v>42</v>
      </c>
      <c r="D29" s="18" t="s">
        <v>19</v>
      </c>
      <c r="E29" s="18" t="s">
        <v>20</v>
      </c>
      <c r="F29" s="20">
        <v>46238</v>
      </c>
      <c r="G29" s="18" t="s">
        <v>21</v>
      </c>
      <c r="H29" s="19" t="s">
        <v>118</v>
      </c>
      <c r="I29" s="19" t="s">
        <v>87</v>
      </c>
      <c r="J29" s="4" t="s">
        <v>119</v>
      </c>
      <c r="K29" s="4" t="str">
        <f>VLOOKUP(A29,[1]Auditoría!$A$2:$L$120,11,FALSE)</f>
        <v>Falta Consumo</v>
      </c>
      <c r="L29" s="4"/>
      <c r="M29" s="2" t="s">
        <v>31</v>
      </c>
      <c r="N29" s="3" t="s">
        <v>26</v>
      </c>
      <c r="O29" s="3" t="s">
        <v>120</v>
      </c>
      <c r="T29" s="13">
        <v>46248</v>
      </c>
      <c r="U29" s="13">
        <v>46247</v>
      </c>
    </row>
    <row r="30" spans="1:21" x14ac:dyDescent="0.3">
      <c r="A30" s="5">
        <v>38998</v>
      </c>
      <c r="B30" s="5" t="s">
        <v>17</v>
      </c>
      <c r="C30" s="6" t="s">
        <v>18</v>
      </c>
      <c r="D30" s="5" t="s">
        <v>34</v>
      </c>
      <c r="E30" s="5" t="s">
        <v>20</v>
      </c>
      <c r="F30" s="9">
        <v>46245</v>
      </c>
      <c r="G30" s="5" t="s">
        <v>21</v>
      </c>
      <c r="H30" s="6" t="s">
        <v>121</v>
      </c>
      <c r="I30" s="6" t="s">
        <v>59</v>
      </c>
      <c r="J30" s="8" t="s">
        <v>117</v>
      </c>
      <c r="K30" s="4" t="s">
        <v>235</v>
      </c>
      <c r="L30" s="8"/>
      <c r="M30" s="5" t="s">
        <v>25</v>
      </c>
      <c r="N30" s="6" t="s">
        <v>56</v>
      </c>
      <c r="O30" s="6" t="s">
        <v>57</v>
      </c>
      <c r="T30" s="13">
        <v>46248</v>
      </c>
      <c r="U30" s="13">
        <v>46247</v>
      </c>
    </row>
    <row r="31" spans="1:21" x14ac:dyDescent="0.3">
      <c r="A31" s="18">
        <v>38574</v>
      </c>
      <c r="B31" s="18" t="s">
        <v>67</v>
      </c>
      <c r="C31" s="19" t="s">
        <v>18</v>
      </c>
      <c r="D31" s="18" t="s">
        <v>19</v>
      </c>
      <c r="E31" s="18" t="s">
        <v>20</v>
      </c>
      <c r="F31" s="20">
        <v>46240</v>
      </c>
      <c r="G31" s="18" t="s">
        <v>21</v>
      </c>
      <c r="H31" s="19" t="s">
        <v>122</v>
      </c>
      <c r="I31" s="19" t="s">
        <v>75</v>
      </c>
      <c r="J31" s="4" t="s">
        <v>123</v>
      </c>
      <c r="K31" s="4" t="str">
        <f>VLOOKUP(A31,[1]Auditoría!$A$2:$L$120,11,FALSE)</f>
        <v>Falta Consumo</v>
      </c>
      <c r="L31" s="4"/>
      <c r="M31" s="2" t="s">
        <v>25</v>
      </c>
      <c r="N31" s="3" t="s">
        <v>26</v>
      </c>
      <c r="O31" s="3" t="s">
        <v>124</v>
      </c>
      <c r="T31" s="13">
        <v>46248</v>
      </c>
      <c r="U31" s="13">
        <v>46247</v>
      </c>
    </row>
    <row r="32" spans="1:21" x14ac:dyDescent="0.3">
      <c r="A32" s="18">
        <v>38612</v>
      </c>
      <c r="B32" s="18" t="s">
        <v>17</v>
      </c>
      <c r="C32" s="19" t="s">
        <v>42</v>
      </c>
      <c r="D32" s="18" t="s">
        <v>19</v>
      </c>
      <c r="E32" s="18" t="s">
        <v>20</v>
      </c>
      <c r="F32" s="20">
        <v>46241</v>
      </c>
      <c r="G32" s="18" t="s">
        <v>21</v>
      </c>
      <c r="H32" s="19" t="s">
        <v>125</v>
      </c>
      <c r="I32" s="19" t="s">
        <v>109</v>
      </c>
      <c r="J32" s="7" t="s">
        <v>111</v>
      </c>
      <c r="K32" s="4" t="str">
        <f>VLOOKUP(A32,[1]Auditoría!$A$2:$L$120,11,FALSE)</f>
        <v>Falta Material</v>
      </c>
      <c r="L32" s="7"/>
      <c r="M32" s="5" t="s">
        <v>31</v>
      </c>
      <c r="N32" s="6" t="s">
        <v>32</v>
      </c>
      <c r="O32" s="6" t="s">
        <v>33</v>
      </c>
      <c r="T32" s="13">
        <v>46248</v>
      </c>
      <c r="U32" s="13">
        <v>46247</v>
      </c>
    </row>
    <row r="33" spans="1:22" x14ac:dyDescent="0.3">
      <c r="A33" s="18">
        <v>39046</v>
      </c>
      <c r="B33" s="18" t="s">
        <v>17</v>
      </c>
      <c r="C33" s="19" t="s">
        <v>18</v>
      </c>
      <c r="D33" s="18" t="s">
        <v>19</v>
      </c>
      <c r="E33" s="18" t="s">
        <v>20</v>
      </c>
      <c r="F33" s="20">
        <v>46246</v>
      </c>
      <c r="G33" s="18" t="s">
        <v>21</v>
      </c>
      <c r="H33" s="19" t="s">
        <v>22</v>
      </c>
      <c r="I33" s="19" t="s">
        <v>23</v>
      </c>
      <c r="J33" s="4" t="s">
        <v>37</v>
      </c>
      <c r="K33" s="4" t="str">
        <f>VLOOKUP(A33,[1]Auditoría!$A$2:$L$120,11,FALSE)</f>
        <v>Falta Consumo</v>
      </c>
      <c r="L33" s="4"/>
      <c r="M33" s="2" t="s">
        <v>25</v>
      </c>
      <c r="N33" s="3" t="s">
        <v>26</v>
      </c>
      <c r="O33" s="3" t="s">
        <v>126</v>
      </c>
      <c r="T33" s="13">
        <v>46248</v>
      </c>
      <c r="U33" s="13">
        <v>46247</v>
      </c>
    </row>
    <row r="34" spans="1:22" x14ac:dyDescent="0.3">
      <c r="A34" s="18">
        <v>38411</v>
      </c>
      <c r="B34" s="18" t="s">
        <v>17</v>
      </c>
      <c r="C34" s="19" t="s">
        <v>62</v>
      </c>
      <c r="D34" s="18" t="s">
        <v>19</v>
      </c>
      <c r="E34" s="18" t="s">
        <v>20</v>
      </c>
      <c r="F34" s="20">
        <v>46237</v>
      </c>
      <c r="G34" s="18" t="s">
        <v>21</v>
      </c>
      <c r="H34" s="19" t="s">
        <v>63</v>
      </c>
      <c r="I34" s="19" t="s">
        <v>64</v>
      </c>
      <c r="J34" s="4" t="s">
        <v>127</v>
      </c>
      <c r="K34" s="4" t="str">
        <f>VLOOKUP(A34,[1]Auditoría!$A$2:$L$120,11,FALSE)</f>
        <v>Falta Consumo</v>
      </c>
      <c r="L34" s="4"/>
      <c r="M34" s="2" t="s">
        <v>25</v>
      </c>
      <c r="N34" s="3" t="s">
        <v>26</v>
      </c>
      <c r="O34" s="3" t="s">
        <v>66</v>
      </c>
      <c r="T34" s="13">
        <v>46248</v>
      </c>
      <c r="U34" s="13">
        <v>46247</v>
      </c>
    </row>
    <row r="35" spans="1:22" x14ac:dyDescent="0.3">
      <c r="A35" s="18">
        <v>38431</v>
      </c>
      <c r="B35" s="18" t="s">
        <v>17</v>
      </c>
      <c r="C35" s="19" t="s">
        <v>42</v>
      </c>
      <c r="D35" s="18" t="s">
        <v>19</v>
      </c>
      <c r="E35" s="18" t="s">
        <v>20</v>
      </c>
      <c r="F35" s="20">
        <v>46238</v>
      </c>
      <c r="G35" s="18" t="s">
        <v>21</v>
      </c>
      <c r="H35" s="19" t="s">
        <v>43</v>
      </c>
      <c r="I35" s="19" t="s">
        <v>44</v>
      </c>
      <c r="J35" s="4" t="s">
        <v>111</v>
      </c>
      <c r="K35" s="4" t="str">
        <f>VLOOKUP(A35,[1]Auditoría!$A$2:$L$120,11,FALSE)</f>
        <v>Falta Consumo</v>
      </c>
      <c r="L35" s="4"/>
      <c r="M35" s="2" t="s">
        <v>31</v>
      </c>
      <c r="N35" s="3" t="s">
        <v>26</v>
      </c>
      <c r="O35" s="3" t="s">
        <v>46</v>
      </c>
      <c r="T35" s="13">
        <v>46248</v>
      </c>
      <c r="U35" s="13">
        <v>46247</v>
      </c>
    </row>
    <row r="36" spans="1:22" x14ac:dyDescent="0.3">
      <c r="A36" s="18">
        <v>38994</v>
      </c>
      <c r="B36" s="18" t="s">
        <v>17</v>
      </c>
      <c r="C36" s="19" t="s">
        <v>42</v>
      </c>
      <c r="D36" s="18" t="s">
        <v>19</v>
      </c>
      <c r="E36" s="18" t="s">
        <v>20</v>
      </c>
      <c r="F36" s="20">
        <v>46245</v>
      </c>
      <c r="G36" s="18" t="s">
        <v>21</v>
      </c>
      <c r="H36" s="19" t="s">
        <v>47</v>
      </c>
      <c r="I36" s="19" t="s">
        <v>48</v>
      </c>
      <c r="J36" s="4" t="s">
        <v>132</v>
      </c>
      <c r="K36" s="4" t="s">
        <v>234</v>
      </c>
      <c r="L36" s="4"/>
      <c r="M36" s="5" t="s">
        <v>31</v>
      </c>
      <c r="N36" s="6" t="s">
        <v>26</v>
      </c>
      <c r="O36" s="6" t="s">
        <v>50</v>
      </c>
      <c r="T36" s="13">
        <v>46248</v>
      </c>
    </row>
    <row r="37" spans="1:22" ht="15.6" customHeight="1" x14ac:dyDescent="0.3">
      <c r="A37" s="18">
        <v>39002</v>
      </c>
      <c r="B37" s="18" t="s">
        <v>17</v>
      </c>
      <c r="C37" s="19" t="s">
        <v>42</v>
      </c>
      <c r="D37" s="18" t="s">
        <v>19</v>
      </c>
      <c r="E37" s="18" t="s">
        <v>20</v>
      </c>
      <c r="F37" s="20">
        <v>46246</v>
      </c>
      <c r="G37" s="18" t="s">
        <v>21</v>
      </c>
      <c r="H37" s="19" t="s">
        <v>51</v>
      </c>
      <c r="I37" s="19" t="s">
        <v>52</v>
      </c>
      <c r="J37" s="4" t="s">
        <v>86</v>
      </c>
      <c r="K37" s="4" t="s">
        <v>234</v>
      </c>
      <c r="L37" s="4"/>
      <c r="M37" s="2" t="s">
        <v>31</v>
      </c>
      <c r="N37" s="3" t="s">
        <v>26</v>
      </c>
      <c r="O37" s="3" t="s">
        <v>133</v>
      </c>
      <c r="T37" s="13">
        <v>46248</v>
      </c>
      <c r="U37" s="13">
        <v>46247</v>
      </c>
    </row>
    <row r="38" spans="1:22" x14ac:dyDescent="0.3">
      <c r="A38" s="18">
        <v>39046</v>
      </c>
      <c r="B38" s="18" t="s">
        <v>17</v>
      </c>
      <c r="C38" s="19" t="s">
        <v>18</v>
      </c>
      <c r="D38" s="18" t="s">
        <v>19</v>
      </c>
      <c r="E38" s="18" t="s">
        <v>20</v>
      </c>
      <c r="F38" s="20">
        <v>46246</v>
      </c>
      <c r="G38" s="18" t="s">
        <v>21</v>
      </c>
      <c r="H38" s="19" t="s">
        <v>22</v>
      </c>
      <c r="I38" s="19" t="s">
        <v>23</v>
      </c>
      <c r="J38" s="4" t="s">
        <v>134</v>
      </c>
      <c r="K38" s="4" t="str">
        <f>VLOOKUP(A38,[1]Auditoría!$A$2:$L$120,11,FALSE)</f>
        <v>Falta Consumo</v>
      </c>
      <c r="L38" s="4"/>
      <c r="M38" s="5" t="s">
        <v>25</v>
      </c>
      <c r="N38" s="6" t="s">
        <v>26</v>
      </c>
      <c r="O38" s="6" t="s">
        <v>27</v>
      </c>
      <c r="T38" s="13">
        <v>46248</v>
      </c>
      <c r="U38" s="13">
        <v>46247</v>
      </c>
    </row>
    <row r="39" spans="1:22" x14ac:dyDescent="0.3">
      <c r="A39" s="18">
        <v>38531</v>
      </c>
      <c r="B39" s="18" t="s">
        <v>67</v>
      </c>
      <c r="C39" s="19" t="s">
        <v>42</v>
      </c>
      <c r="D39" s="18" t="s">
        <v>19</v>
      </c>
      <c r="E39" s="18" t="s">
        <v>20</v>
      </c>
      <c r="F39" s="20">
        <v>46239</v>
      </c>
      <c r="G39" s="18" t="s">
        <v>21</v>
      </c>
      <c r="H39" s="19" t="s">
        <v>51</v>
      </c>
      <c r="I39" s="19" t="s">
        <v>52</v>
      </c>
      <c r="J39" s="4" t="s">
        <v>135</v>
      </c>
      <c r="K39" s="4" t="str">
        <f>VLOOKUP(A39,[1]Auditoría!$A$2:$L$120,11,FALSE)</f>
        <v>Falta Consumo</v>
      </c>
      <c r="L39" s="4"/>
      <c r="M39" s="2" t="s">
        <v>31</v>
      </c>
      <c r="N39" s="3" t="s">
        <v>26</v>
      </c>
      <c r="O39" s="3" t="s">
        <v>136</v>
      </c>
      <c r="T39" s="13">
        <v>46248</v>
      </c>
      <c r="U39" s="13">
        <v>46247</v>
      </c>
    </row>
    <row r="40" spans="1:22" x14ac:dyDescent="0.3">
      <c r="A40" s="18">
        <v>38612</v>
      </c>
      <c r="B40" s="18" t="s">
        <v>17</v>
      </c>
      <c r="C40" s="19" t="s">
        <v>42</v>
      </c>
      <c r="D40" s="18" t="s">
        <v>19</v>
      </c>
      <c r="E40" s="18" t="s">
        <v>20</v>
      </c>
      <c r="F40" s="20">
        <v>46241</v>
      </c>
      <c r="G40" s="18" t="s">
        <v>21</v>
      </c>
      <c r="H40" s="19" t="s">
        <v>125</v>
      </c>
      <c r="I40" s="19" t="s">
        <v>109</v>
      </c>
      <c r="J40" s="7" t="s">
        <v>86</v>
      </c>
      <c r="K40" s="4" t="str">
        <f>VLOOKUP(A40,[1]Auditoría!$A$2:$L$120,11,FALSE)</f>
        <v>Falta Material</v>
      </c>
      <c r="L40" s="7"/>
      <c r="M40" s="5" t="s">
        <v>31</v>
      </c>
      <c r="N40" s="6" t="s">
        <v>32</v>
      </c>
      <c r="O40" s="6" t="s">
        <v>33</v>
      </c>
      <c r="T40" s="13">
        <v>46248</v>
      </c>
      <c r="U40" s="13">
        <v>46247</v>
      </c>
    </row>
    <row r="41" spans="1:22" x14ac:dyDescent="0.3">
      <c r="A41" s="18">
        <v>39063</v>
      </c>
      <c r="B41" s="18" t="s">
        <v>67</v>
      </c>
      <c r="C41" s="19" t="s">
        <v>18</v>
      </c>
      <c r="D41" s="18" t="s">
        <v>19</v>
      </c>
      <c r="E41" s="18" t="s">
        <v>20</v>
      </c>
      <c r="F41" s="20">
        <v>46247</v>
      </c>
      <c r="G41" s="18" t="s">
        <v>21</v>
      </c>
      <c r="H41" s="19" t="s">
        <v>138</v>
      </c>
      <c r="I41" s="19" t="s">
        <v>89</v>
      </c>
      <c r="J41" s="4" t="s">
        <v>135</v>
      </c>
      <c r="K41" s="4" t="s">
        <v>234</v>
      </c>
      <c r="L41" s="4"/>
      <c r="M41" s="5" t="s">
        <v>25</v>
      </c>
      <c r="N41" s="6" t="s">
        <v>26</v>
      </c>
      <c r="O41" s="6" t="s">
        <v>139</v>
      </c>
      <c r="T41" s="13">
        <v>46248</v>
      </c>
    </row>
    <row r="42" spans="1:22" x14ac:dyDescent="0.3">
      <c r="A42" s="18">
        <v>39065</v>
      </c>
      <c r="B42" s="18" t="s">
        <v>67</v>
      </c>
      <c r="C42" s="19" t="s">
        <v>18</v>
      </c>
      <c r="D42" s="18" t="s">
        <v>19</v>
      </c>
      <c r="E42" s="18" t="s">
        <v>20</v>
      </c>
      <c r="F42" s="20">
        <v>46247</v>
      </c>
      <c r="G42" s="18" t="s">
        <v>21</v>
      </c>
      <c r="H42" s="19" t="s">
        <v>138</v>
      </c>
      <c r="I42" s="19" t="s">
        <v>89</v>
      </c>
      <c r="J42" s="4" t="s">
        <v>123</v>
      </c>
      <c r="K42" s="4" t="s">
        <v>234</v>
      </c>
      <c r="L42" s="4"/>
      <c r="M42" s="2" t="s">
        <v>25</v>
      </c>
      <c r="N42" s="3" t="s">
        <v>26</v>
      </c>
      <c r="O42" s="3" t="s">
        <v>140</v>
      </c>
      <c r="T42" s="13">
        <v>46248</v>
      </c>
    </row>
    <row r="43" spans="1:22" x14ac:dyDescent="0.3">
      <c r="A43" s="18">
        <v>39099</v>
      </c>
      <c r="B43" s="18" t="s">
        <v>17</v>
      </c>
      <c r="C43" s="19" t="s">
        <v>18</v>
      </c>
      <c r="D43" s="18" t="s">
        <v>19</v>
      </c>
      <c r="E43" s="18" t="s">
        <v>20</v>
      </c>
      <c r="F43" s="20">
        <v>46244</v>
      </c>
      <c r="G43" s="18" t="s">
        <v>21</v>
      </c>
      <c r="H43" s="19" t="s">
        <v>141</v>
      </c>
      <c r="I43" s="19" t="s">
        <v>36</v>
      </c>
      <c r="J43" s="4" t="s">
        <v>142</v>
      </c>
      <c r="K43" s="4" t="s">
        <v>234</v>
      </c>
      <c r="L43" s="4"/>
      <c r="M43" s="5" t="s">
        <v>31</v>
      </c>
      <c r="N43" s="6" t="s">
        <v>26</v>
      </c>
      <c r="O43" s="6" t="s">
        <v>73</v>
      </c>
      <c r="T43" s="13">
        <v>46248</v>
      </c>
    </row>
    <row r="44" spans="1:22" x14ac:dyDescent="0.3">
      <c r="A44" s="18">
        <v>38529</v>
      </c>
      <c r="B44" s="18" t="s">
        <v>17</v>
      </c>
      <c r="C44" s="19" t="s">
        <v>62</v>
      </c>
      <c r="D44" s="18" t="s">
        <v>19</v>
      </c>
      <c r="E44" s="18" t="s">
        <v>20</v>
      </c>
      <c r="F44" s="20">
        <v>46237</v>
      </c>
      <c r="G44" s="18" t="s">
        <v>21</v>
      </c>
      <c r="H44" s="19" t="s">
        <v>143</v>
      </c>
      <c r="I44" s="19" t="s">
        <v>55</v>
      </c>
      <c r="J44" s="7" t="s">
        <v>93</v>
      </c>
      <c r="K44" s="4" t="s">
        <v>235</v>
      </c>
      <c r="L44" s="7"/>
      <c r="M44" s="2" t="s">
        <v>25</v>
      </c>
      <c r="N44" s="3" t="s">
        <v>32</v>
      </c>
      <c r="O44" s="3" t="s">
        <v>33</v>
      </c>
      <c r="T44" s="13">
        <v>46248</v>
      </c>
      <c r="V44" t="s">
        <v>235</v>
      </c>
    </row>
    <row r="45" spans="1:22" x14ac:dyDescent="0.3">
      <c r="A45" s="18">
        <v>38429</v>
      </c>
      <c r="B45" s="18" t="s">
        <v>17</v>
      </c>
      <c r="C45" s="19" t="s">
        <v>42</v>
      </c>
      <c r="D45" s="18" t="s">
        <v>19</v>
      </c>
      <c r="E45" s="18" t="s">
        <v>20</v>
      </c>
      <c r="F45" s="20">
        <v>46238</v>
      </c>
      <c r="G45" s="18" t="s">
        <v>21</v>
      </c>
      <c r="H45" s="19" t="s">
        <v>130</v>
      </c>
      <c r="I45" s="19" t="s">
        <v>131</v>
      </c>
      <c r="J45" s="4" t="s">
        <v>86</v>
      </c>
      <c r="K45" s="4" t="str">
        <f>VLOOKUP(A45,[1]Auditoría!$A$2:$L$120,11,FALSE)</f>
        <v>Falta Consumo</v>
      </c>
      <c r="L45" s="4"/>
      <c r="M45" s="5" t="s">
        <v>31</v>
      </c>
      <c r="N45" s="6" t="s">
        <v>26</v>
      </c>
      <c r="O45" s="6" t="s">
        <v>144</v>
      </c>
      <c r="T45" s="13">
        <v>46248</v>
      </c>
      <c r="U45" s="13">
        <v>46247</v>
      </c>
    </row>
    <row r="46" spans="1:22" x14ac:dyDescent="0.3">
      <c r="A46" s="18">
        <v>39184</v>
      </c>
      <c r="B46" s="18" t="s">
        <v>17</v>
      </c>
      <c r="C46" s="19" t="s">
        <v>18</v>
      </c>
      <c r="D46" s="18" t="s">
        <v>19</v>
      </c>
      <c r="E46" s="18" t="s">
        <v>20</v>
      </c>
      <c r="F46" s="20">
        <v>46242</v>
      </c>
      <c r="G46" s="18" t="s">
        <v>21</v>
      </c>
      <c r="H46" s="19" t="s">
        <v>137</v>
      </c>
      <c r="I46" s="19" t="s">
        <v>39</v>
      </c>
      <c r="J46" s="7" t="s">
        <v>145</v>
      </c>
      <c r="K46" s="4" t="s">
        <v>239</v>
      </c>
      <c r="L46" s="7"/>
      <c r="M46" s="2" t="s">
        <v>31</v>
      </c>
      <c r="N46" s="3" t="s">
        <v>32</v>
      </c>
      <c r="O46" s="3" t="s">
        <v>33</v>
      </c>
      <c r="T46" s="13">
        <v>46248</v>
      </c>
    </row>
    <row r="47" spans="1:22" x14ac:dyDescent="0.3">
      <c r="A47" s="18">
        <v>39003</v>
      </c>
      <c r="B47" s="18" t="s">
        <v>17</v>
      </c>
      <c r="C47" s="19" t="s">
        <v>42</v>
      </c>
      <c r="D47" s="18" t="s">
        <v>19</v>
      </c>
      <c r="E47" s="18" t="s">
        <v>20</v>
      </c>
      <c r="F47" s="20">
        <v>46246</v>
      </c>
      <c r="G47" s="18" t="s">
        <v>21</v>
      </c>
      <c r="H47" s="19" t="s">
        <v>146</v>
      </c>
      <c r="I47" s="19" t="s">
        <v>147</v>
      </c>
      <c r="J47" s="4" t="s">
        <v>45</v>
      </c>
      <c r="K47" s="4" t="str">
        <f>VLOOKUP(A47,[1]Auditoría!$A$2:$L$120,11,FALSE)</f>
        <v>Falta Consumo</v>
      </c>
      <c r="L47" s="4"/>
      <c r="M47" s="5" t="s">
        <v>31</v>
      </c>
      <c r="N47" s="6" t="s">
        <v>26</v>
      </c>
      <c r="O47" s="6" t="s">
        <v>46</v>
      </c>
      <c r="T47" s="13">
        <v>46248</v>
      </c>
      <c r="U47" s="13">
        <v>46247</v>
      </c>
    </row>
    <row r="48" spans="1:22" x14ac:dyDescent="0.3">
      <c r="A48" s="18">
        <v>38664</v>
      </c>
      <c r="B48" s="18" t="s">
        <v>17</v>
      </c>
      <c r="C48" s="19" t="s">
        <v>18</v>
      </c>
      <c r="D48" s="18" t="s">
        <v>34</v>
      </c>
      <c r="E48" s="18" t="s">
        <v>20</v>
      </c>
      <c r="F48" s="20">
        <v>46237</v>
      </c>
      <c r="G48" s="18" t="s">
        <v>21</v>
      </c>
      <c r="H48" s="19" t="s">
        <v>100</v>
      </c>
      <c r="I48" s="19" t="s">
        <v>89</v>
      </c>
      <c r="J48" s="7" t="s">
        <v>40</v>
      </c>
      <c r="K48" s="4" t="str">
        <f>VLOOKUP(A48,[1]Auditoría!$A$2:$L$120,11,FALSE)</f>
        <v>Falta Material</v>
      </c>
      <c r="L48" s="7"/>
      <c r="M48" s="2" t="s">
        <v>25</v>
      </c>
      <c r="N48" s="3" t="s">
        <v>32</v>
      </c>
      <c r="O48" s="3" t="s">
        <v>33</v>
      </c>
      <c r="T48" s="13">
        <v>46248</v>
      </c>
      <c r="U48" s="13">
        <v>46247</v>
      </c>
    </row>
    <row r="49" spans="1:21" x14ac:dyDescent="0.3">
      <c r="A49" s="18">
        <v>39044</v>
      </c>
      <c r="B49" s="18" t="s">
        <v>17</v>
      </c>
      <c r="C49" s="19" t="s">
        <v>18</v>
      </c>
      <c r="D49" s="18" t="s">
        <v>19</v>
      </c>
      <c r="E49" s="18" t="s">
        <v>20</v>
      </c>
      <c r="F49" s="20">
        <v>46246</v>
      </c>
      <c r="G49" s="18" t="s">
        <v>21</v>
      </c>
      <c r="H49" s="19" t="s">
        <v>148</v>
      </c>
      <c r="I49" s="19" t="s">
        <v>35</v>
      </c>
      <c r="J49" s="4" t="s">
        <v>134</v>
      </c>
      <c r="K49" s="4" t="str">
        <f>VLOOKUP(A49,[1]Auditoría!$A$2:$L$120,11,FALSE)</f>
        <v>Falta Consumo</v>
      </c>
      <c r="L49" s="4"/>
      <c r="M49" s="2" t="s">
        <v>25</v>
      </c>
      <c r="N49" s="3" t="s">
        <v>26</v>
      </c>
      <c r="O49" s="3" t="s">
        <v>149</v>
      </c>
      <c r="T49" s="13">
        <v>46248</v>
      </c>
      <c r="U49" s="13">
        <v>46247</v>
      </c>
    </row>
    <row r="50" spans="1:21" x14ac:dyDescent="0.3">
      <c r="A50" s="18">
        <v>39064</v>
      </c>
      <c r="B50" s="18" t="s">
        <v>67</v>
      </c>
      <c r="C50" s="19" t="s">
        <v>18</v>
      </c>
      <c r="D50" s="18" t="s">
        <v>19</v>
      </c>
      <c r="E50" s="18" t="s">
        <v>20</v>
      </c>
      <c r="F50" s="20">
        <v>46247</v>
      </c>
      <c r="G50" s="18" t="s">
        <v>21</v>
      </c>
      <c r="H50" s="19" t="s">
        <v>138</v>
      </c>
      <c r="I50" s="19" t="s">
        <v>89</v>
      </c>
      <c r="J50" s="4" t="s">
        <v>68</v>
      </c>
      <c r="K50" s="4" t="s">
        <v>234</v>
      </c>
      <c r="L50" s="4"/>
      <c r="M50" s="5" t="s">
        <v>25</v>
      </c>
      <c r="N50" s="6" t="s">
        <v>26</v>
      </c>
      <c r="O50" s="6" t="s">
        <v>150</v>
      </c>
      <c r="T50" s="13">
        <v>46248</v>
      </c>
    </row>
    <row r="51" spans="1:21" x14ac:dyDescent="0.3">
      <c r="A51" s="18">
        <v>38989</v>
      </c>
      <c r="B51" s="18" t="s">
        <v>102</v>
      </c>
      <c r="C51" s="19" t="s">
        <v>42</v>
      </c>
      <c r="D51" s="18" t="s">
        <v>19</v>
      </c>
      <c r="E51" s="18" t="s">
        <v>20</v>
      </c>
      <c r="F51" s="20">
        <v>46239</v>
      </c>
      <c r="G51" s="18" t="s">
        <v>21</v>
      </c>
      <c r="H51" s="19" t="s">
        <v>152</v>
      </c>
      <c r="I51" s="19" t="s">
        <v>153</v>
      </c>
      <c r="J51" s="7" t="s">
        <v>154</v>
      </c>
      <c r="K51" s="4" t="str">
        <f>VLOOKUP(A51,[1]Auditoría!$A$2:$L$120,11,FALSE)</f>
        <v>Falta Material</v>
      </c>
      <c r="L51" s="7"/>
      <c r="M51" s="5" t="s">
        <v>25</v>
      </c>
      <c r="N51" s="6" t="s">
        <v>32</v>
      </c>
      <c r="O51" s="6" t="s">
        <v>33</v>
      </c>
      <c r="T51" s="13">
        <v>46248</v>
      </c>
      <c r="U51" s="13">
        <v>46247</v>
      </c>
    </row>
    <row r="52" spans="1:21" x14ac:dyDescent="0.3">
      <c r="A52" s="18">
        <v>39044</v>
      </c>
      <c r="B52" s="18" t="s">
        <v>17</v>
      </c>
      <c r="C52" s="19" t="s">
        <v>18</v>
      </c>
      <c r="D52" s="18" t="s">
        <v>19</v>
      </c>
      <c r="E52" s="18" t="s">
        <v>20</v>
      </c>
      <c r="F52" s="20">
        <v>46246</v>
      </c>
      <c r="G52" s="18" t="s">
        <v>21</v>
      </c>
      <c r="H52" s="19" t="s">
        <v>148</v>
      </c>
      <c r="I52" s="19" t="s">
        <v>35</v>
      </c>
      <c r="J52" s="4" t="s">
        <v>155</v>
      </c>
      <c r="K52" s="4" t="str">
        <f>VLOOKUP(A52,[1]Auditoría!$A$2:$L$120,11,FALSE)</f>
        <v>Falta Consumo</v>
      </c>
      <c r="L52" s="4"/>
      <c r="M52" s="2" t="s">
        <v>25</v>
      </c>
      <c r="N52" s="3" t="s">
        <v>26</v>
      </c>
      <c r="O52" s="3" t="s">
        <v>149</v>
      </c>
      <c r="T52" s="13">
        <v>46248</v>
      </c>
      <c r="U52" s="13">
        <v>46247</v>
      </c>
    </row>
    <row r="53" spans="1:21" x14ac:dyDescent="0.3">
      <c r="A53" s="18">
        <v>38411</v>
      </c>
      <c r="B53" s="18" t="s">
        <v>17</v>
      </c>
      <c r="C53" s="19" t="s">
        <v>62</v>
      </c>
      <c r="D53" s="18" t="s">
        <v>19</v>
      </c>
      <c r="E53" s="18" t="s">
        <v>20</v>
      </c>
      <c r="F53" s="20">
        <v>46237</v>
      </c>
      <c r="G53" s="18" t="s">
        <v>21</v>
      </c>
      <c r="H53" s="19" t="s">
        <v>63</v>
      </c>
      <c r="I53" s="19" t="s">
        <v>64</v>
      </c>
      <c r="J53" s="4" t="s">
        <v>156</v>
      </c>
      <c r="K53" s="4" t="str">
        <f>VLOOKUP(A53,[1]Auditoría!$A$2:$L$120,11,FALSE)</f>
        <v>Falta Consumo</v>
      </c>
      <c r="L53" s="4"/>
      <c r="M53" s="5" t="s">
        <v>25</v>
      </c>
      <c r="N53" s="6" t="s">
        <v>26</v>
      </c>
      <c r="O53" s="6" t="s">
        <v>66</v>
      </c>
      <c r="T53" s="13">
        <v>46248</v>
      </c>
      <c r="U53" s="13">
        <v>46247</v>
      </c>
    </row>
    <row r="54" spans="1:21" x14ac:dyDescent="0.3">
      <c r="A54" s="18">
        <v>38515</v>
      </c>
      <c r="B54" s="18" t="s">
        <v>17</v>
      </c>
      <c r="C54" s="19" t="s">
        <v>18</v>
      </c>
      <c r="D54" s="18" t="s">
        <v>34</v>
      </c>
      <c r="E54" s="18" t="s">
        <v>20</v>
      </c>
      <c r="F54" s="20">
        <v>46238</v>
      </c>
      <c r="G54" s="18" t="s">
        <v>21</v>
      </c>
      <c r="H54" s="19" t="s">
        <v>158</v>
      </c>
      <c r="I54" s="19" t="s">
        <v>52</v>
      </c>
      <c r="J54" s="7" t="s">
        <v>159</v>
      </c>
      <c r="K54" s="4" t="str">
        <f>VLOOKUP(A54,[1]Auditoría!$A$2:$L$120,11,FALSE)</f>
        <v>Falta Material</v>
      </c>
      <c r="L54" s="7"/>
      <c r="M54" s="5" t="s">
        <v>25</v>
      </c>
      <c r="N54" s="6" t="s">
        <v>32</v>
      </c>
      <c r="O54" s="6" t="s">
        <v>33</v>
      </c>
      <c r="T54" s="13">
        <v>46248</v>
      </c>
      <c r="U54" s="13">
        <v>46247</v>
      </c>
    </row>
    <row r="55" spans="1:21" x14ac:dyDescent="0.3">
      <c r="A55" s="18">
        <v>39178</v>
      </c>
      <c r="B55" s="18" t="s">
        <v>17</v>
      </c>
      <c r="C55" s="19" t="s">
        <v>18</v>
      </c>
      <c r="D55" s="18" t="s">
        <v>19</v>
      </c>
      <c r="E55" s="18" t="s">
        <v>20</v>
      </c>
      <c r="F55" s="20">
        <v>46240</v>
      </c>
      <c r="G55" s="18" t="s">
        <v>21</v>
      </c>
      <c r="H55" s="19" t="s">
        <v>160</v>
      </c>
      <c r="I55" s="19" t="s">
        <v>89</v>
      </c>
      <c r="J55" s="4" t="s">
        <v>45</v>
      </c>
      <c r="K55" s="4" t="s">
        <v>234</v>
      </c>
      <c r="L55" s="4"/>
      <c r="M55" s="2" t="s">
        <v>31</v>
      </c>
      <c r="N55" s="3" t="s">
        <v>26</v>
      </c>
      <c r="O55" s="3" t="s">
        <v>161</v>
      </c>
      <c r="T55" s="13">
        <v>46248</v>
      </c>
    </row>
    <row r="56" spans="1:21" x14ac:dyDescent="0.3">
      <c r="A56" s="18">
        <v>39003</v>
      </c>
      <c r="B56" s="18" t="s">
        <v>17</v>
      </c>
      <c r="C56" s="19" t="s">
        <v>42</v>
      </c>
      <c r="D56" s="18" t="s">
        <v>19</v>
      </c>
      <c r="E56" s="18" t="s">
        <v>20</v>
      </c>
      <c r="F56" s="20">
        <v>46246</v>
      </c>
      <c r="G56" s="18" t="s">
        <v>21</v>
      </c>
      <c r="H56" s="19" t="s">
        <v>146</v>
      </c>
      <c r="I56" s="19" t="s">
        <v>147</v>
      </c>
      <c r="J56" s="4" t="s">
        <v>111</v>
      </c>
      <c r="K56" s="4" t="str">
        <f>VLOOKUP(A56,[1]Auditoría!$A$2:$L$120,11,FALSE)</f>
        <v>Falta Consumo</v>
      </c>
      <c r="L56" s="4"/>
      <c r="M56" s="5" t="s">
        <v>31</v>
      </c>
      <c r="N56" s="6" t="s">
        <v>26</v>
      </c>
      <c r="O56" s="6" t="s">
        <v>46</v>
      </c>
      <c r="T56" s="13">
        <v>46248</v>
      </c>
      <c r="U56" s="13">
        <v>46247</v>
      </c>
    </row>
    <row r="57" spans="1:21" x14ac:dyDescent="0.3">
      <c r="A57" s="18">
        <v>38608</v>
      </c>
      <c r="B57" s="18" t="s">
        <v>17</v>
      </c>
      <c r="C57" s="19" t="s">
        <v>42</v>
      </c>
      <c r="D57" s="18" t="s">
        <v>19</v>
      </c>
      <c r="E57" s="18" t="s">
        <v>20</v>
      </c>
      <c r="F57" s="20">
        <v>46241</v>
      </c>
      <c r="G57" s="18" t="s">
        <v>21</v>
      </c>
      <c r="H57" s="19" t="s">
        <v>162</v>
      </c>
      <c r="I57" s="19" t="s">
        <v>131</v>
      </c>
      <c r="J57" s="8" t="s">
        <v>86</v>
      </c>
      <c r="K57" s="4" t="str">
        <f>VLOOKUP(A57,[1]Auditoría!$A$2:$L$120,11,FALSE)</f>
        <v>Falta Material</v>
      </c>
      <c r="L57" s="8"/>
      <c r="M57" s="2" t="s">
        <v>31</v>
      </c>
      <c r="N57" s="3" t="s">
        <v>56</v>
      </c>
      <c r="O57" s="3" t="s">
        <v>57</v>
      </c>
      <c r="T57" s="13">
        <v>46248</v>
      </c>
      <c r="U57" s="13">
        <v>46247</v>
      </c>
    </row>
    <row r="58" spans="1:21" x14ac:dyDescent="0.3">
      <c r="A58" s="18">
        <v>38772</v>
      </c>
      <c r="B58" s="18" t="s">
        <v>17</v>
      </c>
      <c r="C58" s="19" t="s">
        <v>18</v>
      </c>
      <c r="D58" s="18" t="s">
        <v>34</v>
      </c>
      <c r="E58" s="18" t="s">
        <v>20</v>
      </c>
      <c r="F58" s="20">
        <v>46237</v>
      </c>
      <c r="G58" s="18" t="s">
        <v>21</v>
      </c>
      <c r="H58" s="19" t="s">
        <v>151</v>
      </c>
      <c r="I58" s="19" t="s">
        <v>39</v>
      </c>
      <c r="J58" s="7" t="s">
        <v>163</v>
      </c>
      <c r="K58" s="4" t="str">
        <f>VLOOKUP(A58,[1]Auditoría!$A$2:$L$120,11,FALSE)</f>
        <v>Falta Material</v>
      </c>
      <c r="L58" s="7"/>
      <c r="M58" s="5" t="s">
        <v>25</v>
      </c>
      <c r="N58" s="6" t="s">
        <v>32</v>
      </c>
      <c r="O58" s="6" t="s">
        <v>33</v>
      </c>
      <c r="T58" s="13">
        <v>46248</v>
      </c>
      <c r="U58" s="13">
        <v>46247</v>
      </c>
    </row>
    <row r="59" spans="1:21" x14ac:dyDescent="0.3">
      <c r="A59" s="18">
        <v>39002</v>
      </c>
      <c r="B59" s="18" t="s">
        <v>17</v>
      </c>
      <c r="C59" s="19" t="s">
        <v>42</v>
      </c>
      <c r="D59" s="18" t="s">
        <v>19</v>
      </c>
      <c r="E59" s="18" t="s">
        <v>20</v>
      </c>
      <c r="F59" s="20">
        <v>46246</v>
      </c>
      <c r="G59" s="18" t="s">
        <v>21</v>
      </c>
      <c r="H59" s="19" t="s">
        <v>51</v>
      </c>
      <c r="I59" s="19" t="s">
        <v>52</v>
      </c>
      <c r="J59" s="4" t="s">
        <v>164</v>
      </c>
      <c r="K59" s="4" t="s">
        <v>234</v>
      </c>
      <c r="L59" s="4"/>
      <c r="M59" s="5" t="s">
        <v>31</v>
      </c>
      <c r="N59" s="6" t="s">
        <v>26</v>
      </c>
      <c r="O59" s="6" t="s">
        <v>54</v>
      </c>
      <c r="T59" s="13">
        <v>46248</v>
      </c>
      <c r="U59" s="13">
        <v>46247</v>
      </c>
    </row>
    <row r="60" spans="1:21" x14ac:dyDescent="0.3">
      <c r="A60" s="18">
        <v>38610</v>
      </c>
      <c r="B60" s="18" t="s">
        <v>17</v>
      </c>
      <c r="C60" s="19" t="s">
        <v>42</v>
      </c>
      <c r="D60" s="18" t="s">
        <v>19</v>
      </c>
      <c r="E60" s="18" t="s">
        <v>20</v>
      </c>
      <c r="F60" s="20">
        <v>46241</v>
      </c>
      <c r="G60" s="18" t="s">
        <v>21</v>
      </c>
      <c r="H60" s="19" t="s">
        <v>165</v>
      </c>
      <c r="I60" s="19" t="s">
        <v>109</v>
      </c>
      <c r="J60" s="7" t="s">
        <v>111</v>
      </c>
      <c r="K60" s="4" t="str">
        <f>VLOOKUP(A60,[1]Auditoría!$A$2:$L$120,11,FALSE)</f>
        <v>Falta Material</v>
      </c>
      <c r="L60" s="7"/>
      <c r="M60" s="2" t="s">
        <v>31</v>
      </c>
      <c r="N60" s="3" t="s">
        <v>32</v>
      </c>
      <c r="O60" s="3" t="s">
        <v>33</v>
      </c>
      <c r="T60" s="13">
        <v>46248</v>
      </c>
      <c r="U60" s="13">
        <v>46247</v>
      </c>
    </row>
    <row r="61" spans="1:21" x14ac:dyDescent="0.3">
      <c r="A61" s="18">
        <v>39051</v>
      </c>
      <c r="B61" s="18" t="s">
        <v>17</v>
      </c>
      <c r="C61" s="19" t="s">
        <v>18</v>
      </c>
      <c r="D61" s="18" t="s">
        <v>19</v>
      </c>
      <c r="E61" s="18" t="s">
        <v>20</v>
      </c>
      <c r="F61" s="20">
        <v>46246</v>
      </c>
      <c r="G61" s="18" t="s">
        <v>21</v>
      </c>
      <c r="H61" s="19" t="s">
        <v>166</v>
      </c>
      <c r="I61" s="19" t="s">
        <v>59</v>
      </c>
      <c r="J61" s="4" t="s">
        <v>37</v>
      </c>
      <c r="K61" s="4" t="str">
        <f>VLOOKUP(A61,[1]Auditoría!$A$2:$L$120,11,FALSE)</f>
        <v>Falta Consumo</v>
      </c>
      <c r="L61" s="4"/>
      <c r="M61" s="5" t="s">
        <v>25</v>
      </c>
      <c r="N61" s="6" t="s">
        <v>26</v>
      </c>
      <c r="O61" s="6" t="s">
        <v>167</v>
      </c>
      <c r="T61" s="13">
        <v>46248</v>
      </c>
      <c r="U61" s="13">
        <v>46247</v>
      </c>
    </row>
    <row r="62" spans="1:21" x14ac:dyDescent="0.3">
      <c r="A62" s="18">
        <v>38823</v>
      </c>
      <c r="B62" s="18" t="s">
        <v>17</v>
      </c>
      <c r="C62" s="19" t="s">
        <v>18</v>
      </c>
      <c r="D62" s="18" t="s">
        <v>34</v>
      </c>
      <c r="E62" s="18" t="s">
        <v>20</v>
      </c>
      <c r="F62" s="20">
        <v>46238</v>
      </c>
      <c r="G62" s="18" t="s">
        <v>21</v>
      </c>
      <c r="H62" s="19" t="s">
        <v>91</v>
      </c>
      <c r="I62" s="19" t="s">
        <v>71</v>
      </c>
      <c r="J62" s="7" t="s">
        <v>169</v>
      </c>
      <c r="K62" s="4" t="str">
        <f>VLOOKUP(A62,[1]Auditoría!$A$2:$L$120,11,FALSE)</f>
        <v>Falta Material</v>
      </c>
      <c r="L62" s="7"/>
      <c r="M62" s="2" t="s">
        <v>25</v>
      </c>
      <c r="N62" s="3" t="s">
        <v>32</v>
      </c>
      <c r="O62" s="3" t="s">
        <v>33</v>
      </c>
      <c r="T62" s="13">
        <v>46248</v>
      </c>
      <c r="U62" s="13">
        <v>46247</v>
      </c>
    </row>
    <row r="63" spans="1:21" x14ac:dyDescent="0.3">
      <c r="A63" s="18">
        <v>39000</v>
      </c>
      <c r="B63" s="18" t="s">
        <v>17</v>
      </c>
      <c r="C63" s="19" t="s">
        <v>18</v>
      </c>
      <c r="D63" s="18" t="s">
        <v>34</v>
      </c>
      <c r="E63" s="18" t="s">
        <v>20</v>
      </c>
      <c r="F63" s="20">
        <v>46245</v>
      </c>
      <c r="G63" s="18" t="s">
        <v>21</v>
      </c>
      <c r="H63" s="19" t="s">
        <v>157</v>
      </c>
      <c r="I63" s="19" t="s">
        <v>59</v>
      </c>
      <c r="J63" s="8" t="s">
        <v>170</v>
      </c>
      <c r="K63" s="4" t="str">
        <f>VLOOKUP(A63,[1]Auditoría!$A$2:$L$120,11,FALSE)</f>
        <v>Falta Material</v>
      </c>
      <c r="L63" s="8"/>
      <c r="M63" s="5" t="s">
        <v>25</v>
      </c>
      <c r="N63" s="6" t="s">
        <v>56</v>
      </c>
      <c r="O63" s="6" t="s">
        <v>57</v>
      </c>
      <c r="T63" s="13">
        <v>46248</v>
      </c>
      <c r="U63" s="13">
        <v>46247</v>
      </c>
    </row>
    <row r="64" spans="1:21" x14ac:dyDescent="0.3">
      <c r="A64" s="18">
        <v>38664</v>
      </c>
      <c r="B64" s="18" t="s">
        <v>17</v>
      </c>
      <c r="C64" s="19" t="s">
        <v>18</v>
      </c>
      <c r="D64" s="18" t="s">
        <v>34</v>
      </c>
      <c r="E64" s="18" t="s">
        <v>20</v>
      </c>
      <c r="F64" s="20">
        <v>46237</v>
      </c>
      <c r="G64" s="18" t="s">
        <v>21</v>
      </c>
      <c r="H64" s="19" t="s">
        <v>100</v>
      </c>
      <c r="I64" s="19" t="s">
        <v>89</v>
      </c>
      <c r="J64" s="7" t="s">
        <v>171</v>
      </c>
      <c r="K64" s="4" t="str">
        <f>VLOOKUP(A64,[1]Auditoría!$A$2:$L$120,11,FALSE)</f>
        <v>Falta Material</v>
      </c>
      <c r="L64" s="7"/>
      <c r="M64" s="2" t="s">
        <v>25</v>
      </c>
      <c r="N64" s="3" t="s">
        <v>32</v>
      </c>
      <c r="O64" s="3" t="s">
        <v>33</v>
      </c>
      <c r="T64" s="13">
        <v>46248</v>
      </c>
      <c r="U64" s="13">
        <v>46247</v>
      </c>
    </row>
    <row r="65" spans="1:21" x14ac:dyDescent="0.3">
      <c r="A65" s="18">
        <v>39044</v>
      </c>
      <c r="B65" s="18" t="s">
        <v>17</v>
      </c>
      <c r="C65" s="19" t="s">
        <v>18</v>
      </c>
      <c r="D65" s="18" t="s">
        <v>19</v>
      </c>
      <c r="E65" s="18" t="s">
        <v>20</v>
      </c>
      <c r="F65" s="20">
        <v>46246</v>
      </c>
      <c r="G65" s="18" t="s">
        <v>21</v>
      </c>
      <c r="H65" s="19" t="s">
        <v>148</v>
      </c>
      <c r="I65" s="19" t="s">
        <v>35</v>
      </c>
      <c r="J65" s="4" t="s">
        <v>168</v>
      </c>
      <c r="K65" s="4" t="str">
        <f>VLOOKUP(A65,[1]Auditoría!$A$2:$L$120,11,FALSE)</f>
        <v>Falta Consumo</v>
      </c>
      <c r="L65" s="4"/>
      <c r="M65" s="5" t="s">
        <v>25</v>
      </c>
      <c r="N65" s="6" t="s">
        <v>26</v>
      </c>
      <c r="O65" s="6" t="s">
        <v>172</v>
      </c>
      <c r="T65" s="13">
        <v>46248</v>
      </c>
      <c r="U65" s="13">
        <v>46247</v>
      </c>
    </row>
    <row r="66" spans="1:21" x14ac:dyDescent="0.3">
      <c r="A66" s="18">
        <v>38470</v>
      </c>
      <c r="B66" s="18" t="s">
        <v>17</v>
      </c>
      <c r="C66" s="19" t="s">
        <v>18</v>
      </c>
      <c r="D66" s="18" t="s">
        <v>34</v>
      </c>
      <c r="E66" s="18" t="s">
        <v>20</v>
      </c>
      <c r="F66" s="20">
        <v>46238</v>
      </c>
      <c r="G66" s="18" t="s">
        <v>21</v>
      </c>
      <c r="H66" s="19" t="s">
        <v>173</v>
      </c>
      <c r="I66" s="19" t="s">
        <v>109</v>
      </c>
      <c r="J66" s="8" t="s">
        <v>90</v>
      </c>
      <c r="K66" s="4" t="str">
        <f>VLOOKUP(A66,[1]Auditoría!$A$2:$L$120,11,FALSE)</f>
        <v>Falta Material (315)</v>
      </c>
      <c r="L66" s="8"/>
      <c r="M66" s="5" t="s">
        <v>25</v>
      </c>
      <c r="N66" s="6" t="s">
        <v>56</v>
      </c>
      <c r="O66" s="6" t="s">
        <v>57</v>
      </c>
      <c r="T66" s="13">
        <v>46248</v>
      </c>
      <c r="U66" s="13">
        <v>46247</v>
      </c>
    </row>
    <row r="67" spans="1:21" x14ac:dyDescent="0.3">
      <c r="A67" s="18">
        <v>38998</v>
      </c>
      <c r="B67" s="18" t="s">
        <v>17</v>
      </c>
      <c r="C67" s="19" t="s">
        <v>18</v>
      </c>
      <c r="D67" s="18" t="s">
        <v>34</v>
      </c>
      <c r="E67" s="18" t="s">
        <v>20</v>
      </c>
      <c r="F67" s="20">
        <v>46245</v>
      </c>
      <c r="G67" s="18" t="s">
        <v>21</v>
      </c>
      <c r="H67" s="19" t="s">
        <v>121</v>
      </c>
      <c r="I67" s="19" t="s">
        <v>59</v>
      </c>
      <c r="J67" s="8" t="s">
        <v>37</v>
      </c>
      <c r="K67" s="4" t="str">
        <f>VLOOKUP(A67,[1]Auditoría!$A$2:$L$120,11,FALSE)</f>
        <v>FALTA MATERIAL</v>
      </c>
      <c r="L67" s="8"/>
      <c r="M67" s="2" t="s">
        <v>25</v>
      </c>
      <c r="N67" s="3" t="s">
        <v>56</v>
      </c>
      <c r="O67" s="3" t="s">
        <v>57</v>
      </c>
      <c r="T67" s="13">
        <v>46248</v>
      </c>
      <c r="U67" s="13">
        <v>46247</v>
      </c>
    </row>
    <row r="68" spans="1:21" x14ac:dyDescent="0.3">
      <c r="A68" s="18">
        <v>38606</v>
      </c>
      <c r="B68" s="18" t="s">
        <v>17</v>
      </c>
      <c r="C68" s="19" t="s">
        <v>42</v>
      </c>
      <c r="D68" s="18" t="s">
        <v>19</v>
      </c>
      <c r="E68" s="18" t="s">
        <v>20</v>
      </c>
      <c r="F68" s="20">
        <v>46241</v>
      </c>
      <c r="G68" s="18" t="s">
        <v>21</v>
      </c>
      <c r="H68" s="19" t="s">
        <v>51</v>
      </c>
      <c r="I68" s="19" t="s">
        <v>52</v>
      </c>
      <c r="J68" s="4" t="s">
        <v>92</v>
      </c>
      <c r="K68" s="4" t="str">
        <f>VLOOKUP(A68,[1]Auditoría!$A$2:$L$120,11,FALSE)</f>
        <v>Falta Consumo</v>
      </c>
      <c r="L68" s="4"/>
      <c r="M68" s="5" t="s">
        <v>31</v>
      </c>
      <c r="N68" s="6" t="s">
        <v>26</v>
      </c>
      <c r="O68" s="6" t="s">
        <v>99</v>
      </c>
      <c r="T68" s="13">
        <v>46248</v>
      </c>
      <c r="U68" s="13">
        <v>46247</v>
      </c>
    </row>
    <row r="69" spans="1:21" x14ac:dyDescent="0.3">
      <c r="A69" s="18">
        <v>38610</v>
      </c>
      <c r="B69" s="18" t="s">
        <v>17</v>
      </c>
      <c r="C69" s="19" t="s">
        <v>42</v>
      </c>
      <c r="D69" s="18" t="s">
        <v>19</v>
      </c>
      <c r="E69" s="18" t="s">
        <v>20</v>
      </c>
      <c r="F69" s="20">
        <v>46241</v>
      </c>
      <c r="G69" s="18" t="s">
        <v>21</v>
      </c>
      <c r="H69" s="19" t="s">
        <v>165</v>
      </c>
      <c r="I69" s="19" t="s">
        <v>109</v>
      </c>
      <c r="J69" s="7" t="s">
        <v>86</v>
      </c>
      <c r="K69" s="4" t="str">
        <f>VLOOKUP(A69,[1]Auditoría!$A$2:$L$120,11,FALSE)</f>
        <v>Falta Material</v>
      </c>
      <c r="L69" s="7"/>
      <c r="M69" s="2" t="s">
        <v>31</v>
      </c>
      <c r="N69" s="3" t="s">
        <v>32</v>
      </c>
      <c r="O69" s="3" t="s">
        <v>33</v>
      </c>
      <c r="T69" s="13">
        <v>46248</v>
      </c>
      <c r="U69" s="13">
        <v>46247</v>
      </c>
    </row>
    <row r="70" spans="1:21" x14ac:dyDescent="0.3">
      <c r="A70" s="18">
        <v>39233</v>
      </c>
      <c r="B70" s="18" t="s">
        <v>17</v>
      </c>
      <c r="C70" s="19" t="s">
        <v>18</v>
      </c>
      <c r="D70" s="18" t="s">
        <v>19</v>
      </c>
      <c r="E70" s="18" t="s">
        <v>20</v>
      </c>
      <c r="F70" s="20">
        <v>46247</v>
      </c>
      <c r="G70" s="18" t="s">
        <v>21</v>
      </c>
      <c r="H70" s="19" t="s">
        <v>104</v>
      </c>
      <c r="I70" s="19" t="s">
        <v>71</v>
      </c>
      <c r="J70" s="4" t="s">
        <v>168</v>
      </c>
      <c r="K70" s="4" t="s">
        <v>234</v>
      </c>
      <c r="L70" s="4"/>
      <c r="M70" s="2" t="s">
        <v>25</v>
      </c>
      <c r="N70" s="3" t="s">
        <v>26</v>
      </c>
      <c r="O70" s="3" t="s">
        <v>172</v>
      </c>
      <c r="T70" s="13">
        <v>46248</v>
      </c>
    </row>
    <row r="71" spans="1:21" x14ac:dyDescent="0.3">
      <c r="A71" s="18">
        <v>39044</v>
      </c>
      <c r="B71" s="18" t="s">
        <v>17</v>
      </c>
      <c r="C71" s="19" t="s">
        <v>18</v>
      </c>
      <c r="D71" s="18" t="s">
        <v>19</v>
      </c>
      <c r="E71" s="18" t="s">
        <v>20</v>
      </c>
      <c r="F71" s="20">
        <v>46246</v>
      </c>
      <c r="G71" s="18" t="s">
        <v>21</v>
      </c>
      <c r="H71" s="19" t="s">
        <v>148</v>
      </c>
      <c r="I71" s="19" t="s">
        <v>35</v>
      </c>
      <c r="J71" s="4" t="s">
        <v>174</v>
      </c>
      <c r="K71" s="4" t="str">
        <f>VLOOKUP(A71,[1]Auditoría!$A$2:$L$120,11,FALSE)</f>
        <v>Falta Consumo</v>
      </c>
      <c r="L71" s="4"/>
      <c r="M71" s="5" t="s">
        <v>25</v>
      </c>
      <c r="N71" s="6" t="s">
        <v>26</v>
      </c>
      <c r="O71" s="6" t="s">
        <v>149</v>
      </c>
      <c r="T71" s="13">
        <v>46248</v>
      </c>
      <c r="U71" s="13">
        <v>46247</v>
      </c>
    </row>
    <row r="72" spans="1:21" x14ac:dyDescent="0.3">
      <c r="A72" s="18">
        <v>38373</v>
      </c>
      <c r="B72" s="18" t="s">
        <v>17</v>
      </c>
      <c r="C72" s="19" t="s">
        <v>18</v>
      </c>
      <c r="D72" s="18" t="s">
        <v>34</v>
      </c>
      <c r="E72" s="18" t="s">
        <v>20</v>
      </c>
      <c r="F72" s="20">
        <v>46235</v>
      </c>
      <c r="G72" s="21"/>
      <c r="H72" s="19" t="s">
        <v>128</v>
      </c>
      <c r="I72" s="19" t="s">
        <v>129</v>
      </c>
      <c r="J72" s="7" t="s">
        <v>175</v>
      </c>
      <c r="K72" s="4" t="s">
        <v>236</v>
      </c>
      <c r="L72" s="7"/>
      <c r="M72" s="2" t="s">
        <v>25</v>
      </c>
      <c r="N72" s="3" t="s">
        <v>32</v>
      </c>
      <c r="O72" s="3" t="s">
        <v>33</v>
      </c>
      <c r="T72" s="13">
        <v>46248</v>
      </c>
    </row>
    <row r="73" spans="1:21" x14ac:dyDescent="0.3">
      <c r="A73" s="18">
        <v>38824</v>
      </c>
      <c r="B73" s="18" t="s">
        <v>17</v>
      </c>
      <c r="C73" s="19" t="s">
        <v>18</v>
      </c>
      <c r="D73" s="18" t="s">
        <v>34</v>
      </c>
      <c r="E73" s="18" t="s">
        <v>20</v>
      </c>
      <c r="F73" s="20">
        <v>46238</v>
      </c>
      <c r="G73" s="18" t="s">
        <v>21</v>
      </c>
      <c r="H73" s="19" t="s">
        <v>82</v>
      </c>
      <c r="I73" s="19" t="s">
        <v>75</v>
      </c>
      <c r="J73" s="7" t="s">
        <v>96</v>
      </c>
      <c r="K73" s="4" t="str">
        <f>VLOOKUP(A73,[1]Auditoría!$A$2:$L$120,11,FALSE)</f>
        <v>Falta Material</v>
      </c>
      <c r="L73" s="7"/>
      <c r="M73" s="5" t="s">
        <v>25</v>
      </c>
      <c r="N73" s="6" t="s">
        <v>32</v>
      </c>
      <c r="O73" s="6" t="s">
        <v>33</v>
      </c>
      <c r="T73" s="13">
        <v>46248</v>
      </c>
      <c r="U73" s="13">
        <v>46247</v>
      </c>
    </row>
    <row r="74" spans="1:21" x14ac:dyDescent="0.3">
      <c r="A74" s="2" t="s">
        <v>180</v>
      </c>
      <c r="B74" s="2" t="s">
        <v>17</v>
      </c>
      <c r="C74" s="3" t="s">
        <v>18</v>
      </c>
      <c r="D74" s="2" t="s">
        <v>34</v>
      </c>
      <c r="E74" s="2" t="s">
        <v>20</v>
      </c>
      <c r="F74" s="9">
        <v>46237</v>
      </c>
      <c r="G74" s="2" t="s">
        <v>21</v>
      </c>
      <c r="H74" s="3" t="s">
        <v>181</v>
      </c>
      <c r="I74" s="3" t="s">
        <v>78</v>
      </c>
      <c r="J74" s="8" t="s">
        <v>176</v>
      </c>
      <c r="K74" s="4" t="str">
        <f>VLOOKUP(A74,[1]Auditoría!$A$2:$L$120,11,FALSE)</f>
        <v>Ok Contabilizar Si Corresponde</v>
      </c>
      <c r="L74" s="8"/>
      <c r="M74" s="2" t="s">
        <v>177</v>
      </c>
      <c r="N74" s="3" t="s">
        <v>178</v>
      </c>
      <c r="O74" s="3" t="s">
        <v>179</v>
      </c>
      <c r="T74" s="13">
        <v>46248</v>
      </c>
      <c r="U74" s="13">
        <v>46247</v>
      </c>
    </row>
    <row r="75" spans="1:21" x14ac:dyDescent="0.3">
      <c r="A75" s="5" t="s">
        <v>182</v>
      </c>
      <c r="B75" s="5" t="s">
        <v>17</v>
      </c>
      <c r="C75" s="6" t="s">
        <v>18</v>
      </c>
      <c r="D75" s="5" t="s">
        <v>19</v>
      </c>
      <c r="E75" s="5" t="s">
        <v>20</v>
      </c>
      <c r="F75" s="9">
        <v>46241</v>
      </c>
      <c r="G75" s="5" t="s">
        <v>21</v>
      </c>
      <c r="H75" s="6" t="s">
        <v>183</v>
      </c>
      <c r="I75" s="6" t="s">
        <v>71</v>
      </c>
      <c r="J75" s="8" t="s">
        <v>176</v>
      </c>
      <c r="K75" s="4" t="str">
        <f>VLOOKUP(A75,[1]Auditoría!$A$2:$L$120,11,FALSE)</f>
        <v>Ok Contabilizar Si Corresponde</v>
      </c>
      <c r="L75" s="8"/>
      <c r="M75" s="5" t="s">
        <v>177</v>
      </c>
      <c r="N75" s="6" t="s">
        <v>178</v>
      </c>
      <c r="O75" s="6" t="s">
        <v>184</v>
      </c>
      <c r="T75" s="13">
        <v>46248</v>
      </c>
      <c r="U75" s="13">
        <v>46247</v>
      </c>
    </row>
    <row r="76" spans="1:21" x14ac:dyDescent="0.3">
      <c r="A76" s="18" t="s">
        <v>192</v>
      </c>
      <c r="B76" s="18" t="s">
        <v>17</v>
      </c>
      <c r="C76" s="19" t="s">
        <v>42</v>
      </c>
      <c r="D76" s="18" t="s">
        <v>19</v>
      </c>
      <c r="E76" s="18" t="s">
        <v>20</v>
      </c>
      <c r="F76" s="20">
        <v>46240</v>
      </c>
      <c r="G76" s="18" t="s">
        <v>21</v>
      </c>
      <c r="H76" s="19" t="s">
        <v>193</v>
      </c>
      <c r="I76" s="19" t="s">
        <v>52</v>
      </c>
      <c r="J76" s="8" t="s">
        <v>188</v>
      </c>
      <c r="K76" s="4" t="str">
        <f>VLOOKUP(A76,[1]Auditoría!$A$2:$L$120,11,FALSE)</f>
        <v>Falta Tarea</v>
      </c>
      <c r="L76" s="8"/>
      <c r="M76" s="5" t="s">
        <v>186</v>
      </c>
      <c r="N76" s="6" t="s">
        <v>187</v>
      </c>
      <c r="O76" s="6" t="s">
        <v>194</v>
      </c>
      <c r="T76" s="13">
        <v>46248</v>
      </c>
      <c r="U76" s="13">
        <v>46247</v>
      </c>
    </row>
    <row r="77" spans="1:21" x14ac:dyDescent="0.3">
      <c r="A77" s="18" t="s">
        <v>195</v>
      </c>
      <c r="B77" s="18" t="s">
        <v>17</v>
      </c>
      <c r="C77" s="19" t="s">
        <v>42</v>
      </c>
      <c r="D77" s="18" t="s">
        <v>19</v>
      </c>
      <c r="E77" s="18" t="s">
        <v>20</v>
      </c>
      <c r="F77" s="20">
        <v>46241</v>
      </c>
      <c r="G77" s="18" t="s">
        <v>21</v>
      </c>
      <c r="H77" s="19" t="s">
        <v>196</v>
      </c>
      <c r="I77" s="19" t="s">
        <v>77</v>
      </c>
      <c r="J77" s="8" t="s">
        <v>188</v>
      </c>
      <c r="K77" s="4" t="str">
        <f>VLOOKUP(A77,[1]Auditoría!$A$2:$L$120,11,FALSE)</f>
        <v>Falta Tarea</v>
      </c>
      <c r="L77" s="8"/>
      <c r="M77" s="2" t="s">
        <v>186</v>
      </c>
      <c r="N77" s="3" t="s">
        <v>187</v>
      </c>
      <c r="O77" s="3" t="s">
        <v>197</v>
      </c>
      <c r="T77" s="13">
        <v>46248</v>
      </c>
      <c r="U77" s="13">
        <v>46247</v>
      </c>
    </row>
    <row r="78" spans="1:21" x14ac:dyDescent="0.3">
      <c r="A78" s="18" t="s">
        <v>195</v>
      </c>
      <c r="B78" s="18" t="s">
        <v>17</v>
      </c>
      <c r="C78" s="19" t="s">
        <v>42</v>
      </c>
      <c r="D78" s="18" t="s">
        <v>19</v>
      </c>
      <c r="E78" s="18" t="s">
        <v>20</v>
      </c>
      <c r="F78" s="20">
        <v>46241</v>
      </c>
      <c r="G78" s="18" t="s">
        <v>21</v>
      </c>
      <c r="H78" s="19" t="s">
        <v>196</v>
      </c>
      <c r="I78" s="19" t="s">
        <v>77</v>
      </c>
      <c r="J78" s="8" t="s">
        <v>188</v>
      </c>
      <c r="K78" s="4" t="str">
        <f>VLOOKUP(A78,[1]Auditoría!$A$2:$L$120,11,FALSE)</f>
        <v>Falta Tarea</v>
      </c>
      <c r="L78" s="8"/>
      <c r="M78" s="5" t="s">
        <v>186</v>
      </c>
      <c r="N78" s="6" t="s">
        <v>187</v>
      </c>
      <c r="O78" s="6" t="s">
        <v>198</v>
      </c>
      <c r="T78" s="13">
        <v>46248</v>
      </c>
      <c r="U78" s="13">
        <v>46247</v>
      </c>
    </row>
    <row r="79" spans="1:21" x14ac:dyDescent="0.3">
      <c r="A79" s="18" t="s">
        <v>195</v>
      </c>
      <c r="B79" s="18" t="s">
        <v>17</v>
      </c>
      <c r="C79" s="19" t="s">
        <v>42</v>
      </c>
      <c r="D79" s="18" t="s">
        <v>19</v>
      </c>
      <c r="E79" s="18" t="s">
        <v>20</v>
      </c>
      <c r="F79" s="20">
        <v>46241</v>
      </c>
      <c r="G79" s="18" t="s">
        <v>21</v>
      </c>
      <c r="H79" s="19" t="s">
        <v>196</v>
      </c>
      <c r="I79" s="19" t="s">
        <v>77</v>
      </c>
      <c r="J79" s="8" t="s">
        <v>188</v>
      </c>
      <c r="K79" s="4" t="str">
        <f>VLOOKUP(A79,[1]Auditoría!$A$2:$L$120,11,FALSE)</f>
        <v>Falta Tarea</v>
      </c>
      <c r="L79" s="8"/>
      <c r="M79" s="2" t="s">
        <v>186</v>
      </c>
      <c r="N79" s="3" t="s">
        <v>187</v>
      </c>
      <c r="O79" s="3" t="s">
        <v>199</v>
      </c>
      <c r="T79" s="13">
        <v>46248</v>
      </c>
      <c r="U79" s="13">
        <v>46247</v>
      </c>
    </row>
    <row r="80" spans="1:21" x14ac:dyDescent="0.3">
      <c r="A80" s="18" t="s">
        <v>195</v>
      </c>
      <c r="B80" s="18" t="s">
        <v>17</v>
      </c>
      <c r="C80" s="19" t="s">
        <v>42</v>
      </c>
      <c r="D80" s="18" t="s">
        <v>19</v>
      </c>
      <c r="E80" s="18" t="s">
        <v>20</v>
      </c>
      <c r="F80" s="20">
        <v>46241</v>
      </c>
      <c r="G80" s="18" t="s">
        <v>21</v>
      </c>
      <c r="H80" s="19" t="s">
        <v>196</v>
      </c>
      <c r="I80" s="19" t="s">
        <v>77</v>
      </c>
      <c r="J80" s="8" t="s">
        <v>188</v>
      </c>
      <c r="K80" s="4" t="str">
        <f>VLOOKUP(A80,[1]Auditoría!$A$2:$L$120,11,FALSE)</f>
        <v>Falta Tarea</v>
      </c>
      <c r="L80" s="8"/>
      <c r="M80" s="5" t="s">
        <v>186</v>
      </c>
      <c r="N80" s="6" t="s">
        <v>187</v>
      </c>
      <c r="O80" s="6" t="s">
        <v>200</v>
      </c>
      <c r="T80" s="13">
        <v>46248</v>
      </c>
      <c r="U80" s="13">
        <v>46247</v>
      </c>
    </row>
    <row r="81" spans="1:21" x14ac:dyDescent="0.3">
      <c r="A81" s="5" t="s">
        <v>182</v>
      </c>
      <c r="B81" s="5" t="s">
        <v>17</v>
      </c>
      <c r="C81" s="6" t="s">
        <v>18</v>
      </c>
      <c r="D81" s="5" t="s">
        <v>19</v>
      </c>
      <c r="E81" s="5" t="s">
        <v>20</v>
      </c>
      <c r="F81" s="9">
        <v>46241</v>
      </c>
      <c r="G81" s="5" t="s">
        <v>21</v>
      </c>
      <c r="H81" s="6" t="s">
        <v>183</v>
      </c>
      <c r="I81" s="6" t="s">
        <v>71</v>
      </c>
      <c r="J81" s="8" t="s">
        <v>185</v>
      </c>
      <c r="K81" s="4" t="str">
        <f>VLOOKUP(A81,[1]Auditoría!$A$2:$L$120,11,FALSE)</f>
        <v>Ok Contabilizar Si Corresponde</v>
      </c>
      <c r="L81" s="8"/>
      <c r="M81" s="5" t="s">
        <v>186</v>
      </c>
      <c r="N81" s="6" t="s">
        <v>187</v>
      </c>
      <c r="O81" s="6" t="s">
        <v>191</v>
      </c>
      <c r="T81" s="13">
        <v>46248</v>
      </c>
      <c r="U81" s="13">
        <v>46247</v>
      </c>
    </row>
    <row r="82" spans="1:21" x14ac:dyDescent="0.3">
      <c r="A82" s="2" t="s">
        <v>182</v>
      </c>
      <c r="B82" s="2" t="s">
        <v>17</v>
      </c>
      <c r="C82" s="3" t="s">
        <v>18</v>
      </c>
      <c r="D82" s="2" t="s">
        <v>19</v>
      </c>
      <c r="E82" s="2" t="s">
        <v>20</v>
      </c>
      <c r="F82" s="9">
        <v>46241</v>
      </c>
      <c r="G82" s="2" t="s">
        <v>21</v>
      </c>
      <c r="H82" s="3" t="s">
        <v>183</v>
      </c>
      <c r="I82" s="3" t="s">
        <v>71</v>
      </c>
      <c r="J82" s="8" t="s">
        <v>185</v>
      </c>
      <c r="K82" s="4" t="str">
        <f>VLOOKUP(A82,[1]Auditoría!$A$2:$L$120,11,FALSE)</f>
        <v>Ok Contabilizar Si Corresponde</v>
      </c>
      <c r="L82" s="8"/>
      <c r="M82" s="2" t="s">
        <v>186</v>
      </c>
      <c r="N82" s="3" t="s">
        <v>187</v>
      </c>
      <c r="O82" s="3" t="s">
        <v>201</v>
      </c>
      <c r="T82" s="13">
        <v>46248</v>
      </c>
      <c r="U82" s="13">
        <v>46247</v>
      </c>
    </row>
    <row r="83" spans="1:21" ht="28.8" x14ac:dyDescent="0.3">
      <c r="A83" s="18" t="s">
        <v>202</v>
      </c>
      <c r="B83" s="18" t="s">
        <v>17</v>
      </c>
      <c r="C83" s="19" t="s">
        <v>42</v>
      </c>
      <c r="D83" s="18" t="s">
        <v>19</v>
      </c>
      <c r="E83" s="18" t="s">
        <v>20</v>
      </c>
      <c r="F83" s="20">
        <v>46241</v>
      </c>
      <c r="G83" s="18" t="s">
        <v>21</v>
      </c>
      <c r="H83" s="19" t="s">
        <v>162</v>
      </c>
      <c r="I83" s="19" t="s">
        <v>131</v>
      </c>
      <c r="J83" s="8" t="s">
        <v>185</v>
      </c>
      <c r="K83" s="4" t="s">
        <v>236</v>
      </c>
      <c r="L83" s="8"/>
      <c r="M83" s="5" t="s">
        <v>186</v>
      </c>
      <c r="N83" s="6" t="s">
        <v>187</v>
      </c>
      <c r="O83" s="16" t="s">
        <v>203</v>
      </c>
      <c r="T83" s="13">
        <v>46248</v>
      </c>
    </row>
    <row r="84" spans="1:21" x14ac:dyDescent="0.3">
      <c r="A84" s="2" t="s">
        <v>204</v>
      </c>
      <c r="B84" s="2" t="s">
        <v>17</v>
      </c>
      <c r="C84" s="3" t="s">
        <v>18</v>
      </c>
      <c r="D84" s="2" t="s">
        <v>34</v>
      </c>
      <c r="E84" s="2" t="s">
        <v>20</v>
      </c>
      <c r="F84" s="9">
        <v>46242</v>
      </c>
      <c r="G84" s="2" t="s">
        <v>21</v>
      </c>
      <c r="H84" s="3" t="s">
        <v>189</v>
      </c>
      <c r="I84" s="3" t="s">
        <v>89</v>
      </c>
      <c r="J84" s="8" t="s">
        <v>185</v>
      </c>
      <c r="K84" s="4" t="str">
        <f>VLOOKUP(A84,[1]Auditoría!$A$2:$L$120,11,FALSE)</f>
        <v>Ok</v>
      </c>
      <c r="L84" s="8"/>
      <c r="M84" s="2" t="s">
        <v>186</v>
      </c>
      <c r="N84" s="3" t="s">
        <v>187</v>
      </c>
      <c r="O84" s="3" t="s">
        <v>205</v>
      </c>
      <c r="T84" s="13">
        <v>46248</v>
      </c>
      <c r="U84" s="13">
        <v>46247</v>
      </c>
    </row>
    <row r="85" spans="1:21" x14ac:dyDescent="0.3">
      <c r="A85" s="5" t="s">
        <v>204</v>
      </c>
      <c r="B85" s="5" t="s">
        <v>17</v>
      </c>
      <c r="C85" s="6" t="s">
        <v>18</v>
      </c>
      <c r="D85" s="5" t="s">
        <v>34</v>
      </c>
      <c r="E85" s="5" t="s">
        <v>20</v>
      </c>
      <c r="F85" s="9">
        <v>46242</v>
      </c>
      <c r="G85" s="5" t="s">
        <v>21</v>
      </c>
      <c r="H85" s="6" t="s">
        <v>189</v>
      </c>
      <c r="I85" s="6" t="s">
        <v>89</v>
      </c>
      <c r="J85" s="8" t="s">
        <v>185</v>
      </c>
      <c r="K85" s="4" t="str">
        <f>VLOOKUP(A85,[1]Auditoría!$A$2:$L$120,11,FALSE)</f>
        <v>Ok</v>
      </c>
      <c r="L85" s="8"/>
      <c r="M85" s="5" t="s">
        <v>186</v>
      </c>
      <c r="N85" s="6" t="s">
        <v>187</v>
      </c>
      <c r="O85" s="6" t="s">
        <v>206</v>
      </c>
      <c r="T85" s="13">
        <v>46248</v>
      </c>
      <c r="U85" s="13">
        <v>46247</v>
      </c>
    </row>
    <row r="86" spans="1:21" x14ac:dyDescent="0.3">
      <c r="A86" s="2" t="s">
        <v>207</v>
      </c>
      <c r="B86" s="2" t="s">
        <v>17</v>
      </c>
      <c r="C86" s="3" t="s">
        <v>62</v>
      </c>
      <c r="D86" s="2" t="s">
        <v>19</v>
      </c>
      <c r="E86" s="2" t="s">
        <v>20</v>
      </c>
      <c r="F86" s="9">
        <v>46242</v>
      </c>
      <c r="G86" s="2" t="s">
        <v>21</v>
      </c>
      <c r="H86" s="3" t="s">
        <v>208</v>
      </c>
      <c r="I86" s="3" t="s">
        <v>78</v>
      </c>
      <c r="J86" s="8" t="s">
        <v>185</v>
      </c>
      <c r="K86" s="4" t="str">
        <f>VLOOKUP(A86,[1]Auditoría!$A$2:$L$120,11,FALSE)</f>
        <v>Ok</v>
      </c>
      <c r="L86" s="8"/>
      <c r="M86" s="2" t="s">
        <v>186</v>
      </c>
      <c r="N86" s="3" t="s">
        <v>187</v>
      </c>
      <c r="O86" s="3" t="s">
        <v>209</v>
      </c>
      <c r="T86" s="13">
        <v>46248</v>
      </c>
      <c r="U86" s="13">
        <v>46247</v>
      </c>
    </row>
    <row r="87" spans="1:21" ht="28.8" x14ac:dyDescent="0.3">
      <c r="A87" s="18" t="s">
        <v>210</v>
      </c>
      <c r="B87" s="18" t="s">
        <v>17</v>
      </c>
      <c r="C87" s="19" t="s">
        <v>62</v>
      </c>
      <c r="D87" s="18" t="s">
        <v>19</v>
      </c>
      <c r="E87" s="18" t="s">
        <v>20</v>
      </c>
      <c r="F87" s="20">
        <v>46244</v>
      </c>
      <c r="G87" s="18" t="s">
        <v>21</v>
      </c>
      <c r="H87" s="19" t="s">
        <v>211</v>
      </c>
      <c r="I87" s="19" t="s">
        <v>77</v>
      </c>
      <c r="J87" s="8" t="s">
        <v>185</v>
      </c>
      <c r="K87" s="4" t="s">
        <v>235</v>
      </c>
      <c r="L87" s="8"/>
      <c r="M87" s="5" t="s">
        <v>186</v>
      </c>
      <c r="N87" s="6" t="s">
        <v>187</v>
      </c>
      <c r="O87" s="16" t="s">
        <v>212</v>
      </c>
      <c r="T87" s="13">
        <v>46248</v>
      </c>
    </row>
    <row r="88" spans="1:21" ht="28.8" x14ac:dyDescent="0.3">
      <c r="A88" s="18" t="s">
        <v>213</v>
      </c>
      <c r="B88" s="18" t="s">
        <v>102</v>
      </c>
      <c r="C88" s="19" t="s">
        <v>62</v>
      </c>
      <c r="D88" s="18" t="s">
        <v>19</v>
      </c>
      <c r="E88" s="18" t="s">
        <v>20</v>
      </c>
      <c r="F88" s="20">
        <v>46245</v>
      </c>
      <c r="G88" s="18" t="s">
        <v>21</v>
      </c>
      <c r="H88" s="19" t="s">
        <v>214</v>
      </c>
      <c r="I88" s="19" t="s">
        <v>215</v>
      </c>
      <c r="J88" s="8" t="s">
        <v>185</v>
      </c>
      <c r="K88" s="4" t="s">
        <v>235</v>
      </c>
      <c r="L88" s="8"/>
      <c r="M88" s="2" t="s">
        <v>186</v>
      </c>
      <c r="N88" s="3" t="s">
        <v>187</v>
      </c>
      <c r="O88" s="15" t="s">
        <v>216</v>
      </c>
      <c r="T88" s="13">
        <v>46248</v>
      </c>
    </row>
    <row r="89" spans="1:21" x14ac:dyDescent="0.3">
      <c r="A89" s="5" t="s">
        <v>217</v>
      </c>
      <c r="B89" s="5" t="s">
        <v>17</v>
      </c>
      <c r="C89" s="6" t="s">
        <v>18</v>
      </c>
      <c r="D89" s="5" t="s">
        <v>34</v>
      </c>
      <c r="E89" s="5" t="s">
        <v>20</v>
      </c>
      <c r="F89" s="9">
        <v>46245</v>
      </c>
      <c r="G89" s="5" t="s">
        <v>21</v>
      </c>
      <c r="H89" s="6" t="s">
        <v>110</v>
      </c>
      <c r="I89" s="6" t="s">
        <v>59</v>
      </c>
      <c r="J89" s="8" t="s">
        <v>185</v>
      </c>
      <c r="K89" s="4" t="str">
        <f>VLOOKUP(A89,[1]Auditoría!$A$2:$L$120,11,FALSE)</f>
        <v>Ok</v>
      </c>
      <c r="L89" s="8"/>
      <c r="M89" s="5" t="s">
        <v>186</v>
      </c>
      <c r="N89" s="6" t="s">
        <v>187</v>
      </c>
      <c r="O89" s="6" t="s">
        <v>191</v>
      </c>
      <c r="T89" s="13">
        <v>46248</v>
      </c>
      <c r="U89" s="13">
        <v>46247</v>
      </c>
    </row>
    <row r="90" spans="1:21" x14ac:dyDescent="0.3">
      <c r="A90" s="18" t="s">
        <v>218</v>
      </c>
      <c r="B90" s="18" t="s">
        <v>17</v>
      </c>
      <c r="C90" s="19" t="s">
        <v>18</v>
      </c>
      <c r="D90" s="18" t="s">
        <v>34</v>
      </c>
      <c r="E90" s="18" t="s">
        <v>20</v>
      </c>
      <c r="F90" s="20">
        <v>46245</v>
      </c>
      <c r="G90" s="18" t="s">
        <v>21</v>
      </c>
      <c r="H90" s="19" t="s">
        <v>157</v>
      </c>
      <c r="I90" s="19" t="s">
        <v>59</v>
      </c>
      <c r="J90" s="8" t="s">
        <v>185</v>
      </c>
      <c r="K90" s="4" t="str">
        <f>VLOOKUP(A90,[1]Auditoría!$A$2:$L$120,11,FALSE)</f>
        <v>Falta Tarea</v>
      </c>
      <c r="L90" s="8"/>
      <c r="M90" s="2" t="s">
        <v>186</v>
      </c>
      <c r="N90" s="3" t="s">
        <v>187</v>
      </c>
      <c r="O90" s="3" t="s">
        <v>219</v>
      </c>
      <c r="T90" s="13">
        <v>46248</v>
      </c>
      <c r="U90" s="13">
        <v>46247</v>
      </c>
    </row>
    <row r="91" spans="1:21" x14ac:dyDescent="0.3">
      <c r="A91" s="18" t="s">
        <v>220</v>
      </c>
      <c r="B91" s="18" t="s">
        <v>190</v>
      </c>
      <c r="C91" s="19" t="s">
        <v>62</v>
      </c>
      <c r="D91" s="18" t="s">
        <v>19</v>
      </c>
      <c r="E91" s="18" t="s">
        <v>20</v>
      </c>
      <c r="F91" s="20">
        <v>46245</v>
      </c>
      <c r="G91" s="21"/>
      <c r="H91" s="19" t="s">
        <v>221</v>
      </c>
      <c r="I91" s="19" t="s">
        <v>222</v>
      </c>
      <c r="J91" s="8" t="s">
        <v>188</v>
      </c>
      <c r="K91" s="4" t="s">
        <v>240</v>
      </c>
      <c r="L91" s="8"/>
      <c r="M91" s="5" t="s">
        <v>186</v>
      </c>
      <c r="N91" s="6" t="s">
        <v>187</v>
      </c>
      <c r="O91" s="6" t="s">
        <v>223</v>
      </c>
      <c r="T91" s="13">
        <v>46248</v>
      </c>
      <c r="U91" s="13">
        <v>46247</v>
      </c>
    </row>
    <row r="92" spans="1:21" x14ac:dyDescent="0.3">
      <c r="A92" s="2" t="s">
        <v>220</v>
      </c>
      <c r="B92" s="2" t="s">
        <v>190</v>
      </c>
      <c r="C92" s="3" t="s">
        <v>62</v>
      </c>
      <c r="D92" s="2" t="s">
        <v>19</v>
      </c>
      <c r="E92" s="2" t="s">
        <v>20</v>
      </c>
      <c r="F92" s="9">
        <v>46245</v>
      </c>
      <c r="H92" s="3" t="s">
        <v>221</v>
      </c>
      <c r="I92" s="3" t="s">
        <v>222</v>
      </c>
      <c r="J92" s="8" t="s">
        <v>188</v>
      </c>
      <c r="K92" s="4" t="s">
        <v>235</v>
      </c>
      <c r="L92" s="8"/>
      <c r="M92" s="2" t="s">
        <v>186</v>
      </c>
      <c r="N92" s="3" t="s">
        <v>187</v>
      </c>
      <c r="O92" s="3" t="s">
        <v>224</v>
      </c>
      <c r="T92" s="13">
        <v>46248</v>
      </c>
      <c r="U92" s="13">
        <v>46247</v>
      </c>
    </row>
    <row r="93" spans="1:21" ht="28.8" x14ac:dyDescent="0.3">
      <c r="A93" s="18" t="s">
        <v>225</v>
      </c>
      <c r="B93" s="18" t="s">
        <v>17</v>
      </c>
      <c r="C93" s="19" t="s">
        <v>18</v>
      </c>
      <c r="D93" s="18" t="s">
        <v>19</v>
      </c>
      <c r="E93" s="18" t="s">
        <v>20</v>
      </c>
      <c r="F93" s="20">
        <v>46247</v>
      </c>
      <c r="G93" s="18" t="s">
        <v>21</v>
      </c>
      <c r="H93" s="19" t="s">
        <v>226</v>
      </c>
      <c r="I93" s="19" t="s">
        <v>78</v>
      </c>
      <c r="J93" s="8" t="s">
        <v>185</v>
      </c>
      <c r="K93" s="4" t="s">
        <v>237</v>
      </c>
      <c r="L93" s="8"/>
      <c r="M93" s="5" t="s">
        <v>186</v>
      </c>
      <c r="N93" s="6" t="s">
        <v>187</v>
      </c>
      <c r="O93" s="16" t="s">
        <v>227</v>
      </c>
      <c r="T93" s="13">
        <v>46248</v>
      </c>
    </row>
    <row r="94" spans="1:21" ht="28.8" x14ac:dyDescent="0.3">
      <c r="A94" s="18" t="s">
        <v>225</v>
      </c>
      <c r="B94" s="18" t="s">
        <v>17</v>
      </c>
      <c r="C94" s="19" t="s">
        <v>18</v>
      </c>
      <c r="D94" s="18" t="s">
        <v>19</v>
      </c>
      <c r="E94" s="18" t="s">
        <v>20</v>
      </c>
      <c r="F94" s="20">
        <v>46247</v>
      </c>
      <c r="G94" s="18" t="s">
        <v>21</v>
      </c>
      <c r="H94" s="19" t="s">
        <v>226</v>
      </c>
      <c r="I94" s="19" t="s">
        <v>78</v>
      </c>
      <c r="J94" s="8" t="s">
        <v>185</v>
      </c>
      <c r="K94" s="4" t="s">
        <v>237</v>
      </c>
      <c r="L94" s="8"/>
      <c r="M94" s="2" t="s">
        <v>186</v>
      </c>
      <c r="N94" s="3" t="s">
        <v>187</v>
      </c>
      <c r="O94" s="15" t="s">
        <v>228</v>
      </c>
      <c r="T94" s="13">
        <v>46248</v>
      </c>
    </row>
  </sheetData>
  <autoFilter ref="A1:V94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2026-08-14T14:54:17Z</dcterms:created>
  <dcterms:modified xsi:type="dcterms:W3CDTF">2026-08-18T13:39:59Z</dcterms:modified>
  <cp:category/>
</cp:coreProperties>
</file>