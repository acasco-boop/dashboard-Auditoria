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072"/>
  </bookViews>
  <sheets>
    <sheet name="Auditoría" sheetId="1" r:id="rId1"/>
  </sheets>
  <externalReferences>
    <externalReference r:id="rId2"/>
  </externalReferences>
  <definedNames>
    <definedName name="_xlnm._FilterDatabase" localSheetId="0" hidden="1">Auditoría!$A$1:$V$68</definedName>
  </definedNames>
  <calcPr calcId="162913"/>
</workbook>
</file>

<file path=xl/calcChain.xml><?xml version="1.0" encoding="utf-8"?>
<calcChain xmlns="http://schemas.openxmlformats.org/spreadsheetml/2006/main">
  <c r="K65" i="1" l="1"/>
  <c r="K64" i="1"/>
  <c r="K63" i="1"/>
  <c r="K62" i="1"/>
  <c r="K61" i="1"/>
  <c r="K60" i="1"/>
  <c r="K58" i="1"/>
  <c r="K54" i="1"/>
  <c r="K53" i="1"/>
  <c r="K52" i="1"/>
  <c r="K51" i="1"/>
  <c r="K50" i="1"/>
  <c r="K49" i="1"/>
  <c r="K48" i="1"/>
  <c r="K40" i="1"/>
  <c r="K39" i="1"/>
  <c r="K38" i="1"/>
  <c r="K37" i="1"/>
  <c r="K36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4" i="1"/>
  <c r="K3" i="1"/>
  <c r="K2" i="1"/>
</calcChain>
</file>

<file path=xl/sharedStrings.xml><?xml version="1.0" encoding="utf-8"?>
<sst xmlns="http://schemas.openxmlformats.org/spreadsheetml/2006/main" count="790" uniqueCount="197">
  <si>
    <t>Nro. Orden</t>
  </si>
  <si>
    <t>Tipo de orden</t>
  </si>
  <si>
    <t>Centros de costos</t>
  </si>
  <si>
    <t>Estado Orden</t>
  </si>
  <si>
    <t>Contabilizada</t>
  </si>
  <si>
    <t>Fecha de la orden</t>
  </si>
  <si>
    <t>Status de documento</t>
  </si>
  <si>
    <t>Equipo</t>
  </si>
  <si>
    <t>Nombre Equipo</t>
  </si>
  <si>
    <t>Tarea</t>
  </si>
  <si>
    <t>Estado Tarea</t>
  </si>
  <si>
    <t>Tipo de Hallazgo</t>
  </si>
  <si>
    <t>Detalle</t>
  </si>
  <si>
    <t>Resultado IA</t>
  </si>
  <si>
    <t>Material Relacionado</t>
  </si>
  <si>
    <t>Confianza IA</t>
  </si>
  <si>
    <t>Justificación IA</t>
  </si>
  <si>
    <t>Correctivo</t>
  </si>
  <si>
    <t>CIUD</t>
  </si>
  <si>
    <t>No</t>
  </si>
  <si>
    <t>O</t>
  </si>
  <si>
    <t>ATEGO 1721</t>
  </si>
  <si>
    <t>Engrase tractor completo</t>
  </si>
  <si>
    <t>Terminada</t>
  </si>
  <si>
    <t>1) Orden sin repuestos asignados</t>
  </si>
  <si>
    <t>Ningún material cargado en la orden</t>
  </si>
  <si>
    <t>AF642OT</t>
  </si>
  <si>
    <t>Liberada</t>
  </si>
  <si>
    <t>AD426HX</t>
  </si>
  <si>
    <t>AXOR 2541</t>
  </si>
  <si>
    <t>Cambiar destellador</t>
  </si>
  <si>
    <t>No iniciada</t>
  </si>
  <si>
    <t>3) Planificado sin Salida física (Salidas = 0)</t>
  </si>
  <si>
    <t>Materiales planificados con Salida Cero: DESTELLADOR 24V 4T - RALUX</t>
  </si>
  <si>
    <t>ATEGO 1725</t>
  </si>
  <si>
    <t>2) Falta material (IA)</t>
  </si>
  <si>
    <t>Tarea de lubricación sin material de grasa, aceite o refrigerante en la orden</t>
  </si>
  <si>
    <t>ATRON 1720</t>
  </si>
  <si>
    <t>SRAF</t>
  </si>
  <si>
    <t>MQU466</t>
  </si>
  <si>
    <t>SCANIA P360 A6X2</t>
  </si>
  <si>
    <t>Cambiar junta de compresor de aire</t>
  </si>
  <si>
    <t>MNZA</t>
  </si>
  <si>
    <t>LUW863</t>
  </si>
  <si>
    <t>ACOPLADO BARANDA VOLC. 3 EJES</t>
  </si>
  <si>
    <t>Cambiar Cubierta 3DI</t>
  </si>
  <si>
    <t>Materiales planificados con Salida Cero: RECAPADO NEUMATICO 295</t>
  </si>
  <si>
    <t>AD367PX</t>
  </si>
  <si>
    <t>S.A.P.3E.71</t>
  </si>
  <si>
    <t>Lubricar Carritos De Lonas Y Parantes</t>
  </si>
  <si>
    <t>Lubricar Guia De Lona y Regulo</t>
  </si>
  <si>
    <t>Material de lubricante planificado con Salida Cero: BALDE GRASA LUBRIGON X 20 KG</t>
  </si>
  <si>
    <t>TECTOR EVO 170E28</t>
  </si>
  <si>
    <t>AG404LU</t>
  </si>
  <si>
    <t>ATEGO 1418</t>
  </si>
  <si>
    <t>IBB073</t>
  </si>
  <si>
    <t>S PA 3E 71</t>
  </si>
  <si>
    <t>Engrase Completo</t>
  </si>
  <si>
    <t>AD426IJ</t>
  </si>
  <si>
    <t>Preventivo</t>
  </si>
  <si>
    <t>1620</t>
  </si>
  <si>
    <t>Auxilios</t>
  </si>
  <si>
    <t>GYB034</t>
  </si>
  <si>
    <t>710</t>
  </si>
  <si>
    <t>Agregar liquido refrigerante</t>
  </si>
  <si>
    <t>Materiales planificados con Salida Cero: LIQUIDO REFRIGERANTE 50/50 X 1000LTS, LAMPARA 12V 21W UN POLO, BOMBA DE AGUA (OM364) MB 710 (A 364 200 00 01) - VMG (BA1239), LAMPARA 12V 5W (S/CULOTE)</t>
  </si>
  <si>
    <t>LRN157</t>
  </si>
  <si>
    <t>Cambiar lampara h1 24v</t>
  </si>
  <si>
    <t>Materiales planificados con Salida Cero: LAMPARA H1 24V</t>
  </si>
  <si>
    <t>G310</t>
  </si>
  <si>
    <t>FFJ868</t>
  </si>
  <si>
    <t>1218</t>
  </si>
  <si>
    <t>Cambiar valvula 6 vias</t>
  </si>
  <si>
    <t>Materiales planificados con Salida Cero: PULMON DE FRENO 30/30 CON BLOQUEADOR, REPARACION DE PALANCA DE BLOQUEO DE FRENOS (ART. REPARADO), REPARACION DE VALVULA 6 VIAS (ART. REPARADO)</t>
  </si>
  <si>
    <t>AF642OS</t>
  </si>
  <si>
    <t>AF743LB</t>
  </si>
  <si>
    <t>ATEGO 1729</t>
  </si>
  <si>
    <t>Cambiar filtro de aire</t>
  </si>
  <si>
    <t>Materiales planificados con Salida Cero: FILTRO DE AIRE MB 2426/AXOR 1933 - MANN C28 1012</t>
  </si>
  <si>
    <t>OAF643</t>
  </si>
  <si>
    <t>Agregar Aceite (Tractor)</t>
  </si>
  <si>
    <t>PALETERO S.PA.3E.71 2+1</t>
  </si>
  <si>
    <t>Engrasar Carritos de Lona</t>
  </si>
  <si>
    <t>AF737MP</t>
  </si>
  <si>
    <t>Cambiar lampara h3 24v</t>
  </si>
  <si>
    <t>Materiales planificados con Salida Cero: LAMPARA H3 24V</t>
  </si>
  <si>
    <t>Cambiar Cubierta 3II</t>
  </si>
  <si>
    <t>16-BDAS. VOLC. 3 EJES</t>
  </si>
  <si>
    <t>Cambiar Bloqueador</t>
  </si>
  <si>
    <t>Engraso Plato</t>
  </si>
  <si>
    <t>Material de lubricante planificado con Salida Cero: GRASA 62 X 20 KG</t>
  </si>
  <si>
    <t>OJG064</t>
  </si>
  <si>
    <t>OJG063</t>
  </si>
  <si>
    <t>LTS288</t>
  </si>
  <si>
    <t>Colocar inyectores y bomba inyectora</t>
  </si>
  <si>
    <t>1318</t>
  </si>
  <si>
    <t>AF948NA</t>
  </si>
  <si>
    <t>Agregar Urea</t>
  </si>
  <si>
    <t>Materiales planificados con Salida Cero: AZUL 32 UREA x 1000LTS</t>
  </si>
  <si>
    <t>IDX164</t>
  </si>
  <si>
    <t>AXOR 1933</t>
  </si>
  <si>
    <t>Cambiar Líquido Refrigerante</t>
  </si>
  <si>
    <t>Materiales planificados con Salida Cero: CAÑO POLIAMIDA TECALAN DE 6MM X MTS, PRECINTOS 400X7,2MM X 100 UNI - RODA, LIQUIDO REFRIGERANTE 50/50 X 1000LTS</t>
  </si>
  <si>
    <t>AF746ED</t>
  </si>
  <si>
    <t>OJG097</t>
  </si>
  <si>
    <t>AF066NS</t>
  </si>
  <si>
    <t>AG176NB</t>
  </si>
  <si>
    <t>TECTOR 160E21</t>
  </si>
  <si>
    <t>KGM735</t>
  </si>
  <si>
    <t>Cambiar lampara h7 24v</t>
  </si>
  <si>
    <t>Materiales planificados con Salida Cero: LAMPARA H7 24V - PHILLIPS</t>
  </si>
  <si>
    <t>KDG188</t>
  </si>
  <si>
    <t>AE812EN</t>
  </si>
  <si>
    <t>SCANIA P410 A6X2</t>
  </si>
  <si>
    <t>Cambiar ruleman de rueda trasera izquierda</t>
  </si>
  <si>
    <t>JHD034</t>
  </si>
  <si>
    <t>Cambiar Cubierta 3DE</t>
  </si>
  <si>
    <t>Cambiar bomba de agua</t>
  </si>
  <si>
    <t>Cambiar comando levanta vidrio</t>
  </si>
  <si>
    <t>Materiales planificados con Salida Cero: COMANDO ALZA CRISTALES MB AXOR (A 005 545 39 13) ORIGINAL</t>
  </si>
  <si>
    <t>OAF642</t>
  </si>
  <si>
    <t>Cambiar Rueda Completa C/Llanta Delantera Der</t>
  </si>
  <si>
    <t>Materiales planificados con Salida Cero: CUBIERTA LINEAL 275 R22.5 - FATE</t>
  </si>
  <si>
    <t>Cambiar lampara 3w 24v</t>
  </si>
  <si>
    <t>OHH588</t>
  </si>
  <si>
    <t>Materiales planificados con Salida Cero: LAMPARA H1 24V  - NEOLUX</t>
  </si>
  <si>
    <t>Cambiar Pulmon De Freno</t>
  </si>
  <si>
    <t>OHH596</t>
  </si>
  <si>
    <t>Cambio Fusible</t>
  </si>
  <si>
    <t>Materiales planificados con Salida Cero: FUSIBLE 10 AMP - GENROD</t>
  </si>
  <si>
    <t>Materiales planificados con Salida Cero: LIQUIDO REFRIGERANTE KRIOX INORGANICO X 1000LTS</t>
  </si>
  <si>
    <t>MYR537</t>
  </si>
  <si>
    <t>Cambiar Espejo Lado Der</t>
  </si>
  <si>
    <t>Materiales planificados con Salida Cero: ESPEJO COMPLETO IZQ/DER MB AXOR/ATEGO (C/DESEMPAÑADOR) - (SP 1609)</t>
  </si>
  <si>
    <t>IVD940</t>
  </si>
  <si>
    <t>Cambiar Lamparas 24V 21/5w Varias</t>
  </si>
  <si>
    <t>Materiales planificados con Salida Cero: LAMPARA 24V 21W</t>
  </si>
  <si>
    <t>Múltiples repuestos</t>
  </si>
  <si>
    <t>Revisión</t>
  </si>
  <si>
    <t>5) Materiales Repetidos</t>
  </si>
  <si>
    <t>38600</t>
  </si>
  <si>
    <t>AF461DB</t>
  </si>
  <si>
    <t>Se cargó el mismo repuesto varias veces en la orden: 'REMACHE POP ALUMINIO DE 5MM DIAMETRO X 20MM LARGO' (2 veces). Revisar posibles duplicados.</t>
  </si>
  <si>
    <t>39277</t>
  </si>
  <si>
    <t>OHH593</t>
  </si>
  <si>
    <t>Se cargó el mismo repuesto varias veces en la orden: 'COLIZA IZQ AXOR/ATEGO (A 958 722 00 25) - LISGOM' (2 veces). Revisar posibles duplicados.</t>
  </si>
  <si>
    <t>Sin tarea asociada</t>
  </si>
  <si>
    <t>N/A</t>
  </si>
  <si>
    <t>4) Repuesto sin tarea (IA)</t>
  </si>
  <si>
    <t>Sin tarea que requiera material</t>
  </si>
  <si>
    <t>Insumo</t>
  </si>
  <si>
    <t>Material "PINCEL DE 25MM (1")" (Salidas: 1) cargado pero ninguna tarea requiere material</t>
  </si>
  <si>
    <t>Material "REMACHE POP ALUMINIO DE 5MM DIAMETRO X 20MM LARGO" (Salidas: 20) no coincide con ninguna tarea de la orden</t>
  </si>
  <si>
    <t>Material "LIMPIA CONTACTOS EN AEROSOL 440 ML – CONTACMATIC BIO DELTA" (Salidas: 1) cargado pero ninguna tarea requiere material</t>
  </si>
  <si>
    <t>38557</t>
  </si>
  <si>
    <t>Material "ESCOBILLA LIMPIA PARABRISAS 26" (650MM) - BOSCH (B162)" (Salidas: 2) cargado pero ninguna tarea requiere material</t>
  </si>
  <si>
    <t>Material "RELAY DE LUCES INDICADORAS MB AXOR 1933 (A 003 544 61 32) ORIGINAL" (Salidas: 1) cargado pero ninguna tarea requiere material</t>
  </si>
  <si>
    <t>38597</t>
  </si>
  <si>
    <t>HRJ002</t>
  </si>
  <si>
    <t>Material "MICA BAIML 1035 COLOR CRISTAL (LED)" (Salidas: 2) cargado pero ninguna tarea requiere material</t>
  </si>
  <si>
    <t>Material "LAMPARA 24V 5W (C/CULOTE) - NEOLUX" (Salidas: 4) cargado pero ninguna tarea requiere material</t>
  </si>
  <si>
    <t>Material "FARO COLGANTE SIMPLE 1035/6" (Salidas: 4) cargado pero ninguna tarea requiere material</t>
  </si>
  <si>
    <t>Material "LAMPARA 24V PY21W" (Salidas: 6) cargado pero ninguna tarea requiere material</t>
  </si>
  <si>
    <t>INSUMOS SRF</t>
  </si>
  <si>
    <t>INSUMOS SAN RAFAEL</t>
  </si>
  <si>
    <t>Material "REMACHE POP ALUMINIO DE 5MM DIAMETRO X 20MM LARGO" (Salidas: 5) no coincide con ninguna tarea de la orden</t>
  </si>
  <si>
    <t>38608</t>
  </si>
  <si>
    <t>Material "ACOPLE RAPIDO RECTO DE 10MM" (Salidas: 1) no coincide con ninguna tarea de la orden</t>
  </si>
  <si>
    <t>38974</t>
  </si>
  <si>
    <t>HRJ003</t>
  </si>
  <si>
    <t>Material "SILOC FORMADOR DE JUNTA 8600 X 98GR" (Salidas: 1) no coincide con ninguna tarea de la orden</t>
  </si>
  <si>
    <t>38985</t>
  </si>
  <si>
    <t>KUF609</t>
  </si>
  <si>
    <t>Material "CONECTOR BOMBA DE AGUA 904/906 MB 1624/1725 (A 936 203 33 36) ORIGINAL" (Salidas: 1) cargado pero ninguna tarea requiere material</t>
  </si>
  <si>
    <t>38986</t>
  </si>
  <si>
    <t>FQT894</t>
  </si>
  <si>
    <t>38992</t>
  </si>
  <si>
    <t>Material "REJILLA TRAMA ANCHA - SEMI PASADA" (Salidas: 6) cargado pero ninguna tarea requiere material</t>
  </si>
  <si>
    <t>38993</t>
  </si>
  <si>
    <t>AB696BS</t>
  </si>
  <si>
    <t>ATRON 1735 45</t>
  </si>
  <si>
    <t>Material "CAÑO POLIAMIDA TECALAN DE 10MM X MTS" (Salidas: 0.2) no coincide con ninguna tarea de la orden</t>
  </si>
  <si>
    <t>39004</t>
  </si>
  <si>
    <t>ESTRUCTURA MZ</t>
  </si>
  <si>
    <t>ESTRUCTURA MENDOZA</t>
  </si>
  <si>
    <t>Material "KIT DE REPARACION DE COMPRESOR DE AIRE (85MM) MB ATEGO 1725/1419 - PELLACANI (2003111)" (Salidas: 2) cargado pero ninguna tarea requiere material</t>
  </si>
  <si>
    <t>Material "THINNER X 18LT" (Salidas: 14) cargado pero ninguna tarea requiere material</t>
  </si>
  <si>
    <t>39240</t>
  </si>
  <si>
    <t>NIE148</t>
  </si>
  <si>
    <t>Material "EXTREMO DE CAJA DE CAMBIO MECANICO (PARA ADAPTAR)" (Salidas: 1) no coincide con ninguna tarea de la orden</t>
  </si>
  <si>
    <t>Control</t>
  </si>
  <si>
    <t>Repuestas.</t>
  </si>
  <si>
    <t>Descarga</t>
  </si>
  <si>
    <t>Estados Control</t>
  </si>
  <si>
    <t>Estados OK</t>
  </si>
  <si>
    <t>Falta Consumo</t>
  </si>
  <si>
    <t>(Ver es estructura o Insumo)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</si>
</sst>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9FAFB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uditoria_Mantenimiento_Generado%20(19-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oría"/>
      <sheetName val="Hoja1"/>
    </sheetNames>
    <sheetDataSet>
      <sheetData sheetId="0">
        <row r="2">
          <cell r="A2">
            <v>38411</v>
          </cell>
          <cell r="B2" t="str">
            <v>Correctivo</v>
          </cell>
          <cell r="C2" t="str">
            <v>MNZA</v>
          </cell>
          <cell r="D2" t="str">
            <v>Liberada</v>
          </cell>
          <cell r="E2" t="str">
            <v>No</v>
          </cell>
          <cell r="F2">
            <v>46237</v>
          </cell>
          <cell r="G2" t="str">
            <v>O</v>
          </cell>
          <cell r="H2" t="str">
            <v>LUW863</v>
          </cell>
          <cell r="I2" t="str">
            <v>ACOPLADO BARANDA VOLC. 3 EJES</v>
          </cell>
          <cell r="J2" t="str">
            <v>Cambiar Cubierta 3DI</v>
          </cell>
          <cell r="K2" t="str">
            <v>Falta Consumo</v>
          </cell>
        </row>
        <row r="3">
          <cell r="A3">
            <v>38411</v>
          </cell>
          <cell r="B3" t="str">
            <v>Correctivo</v>
          </cell>
          <cell r="C3" t="str">
            <v>MNZA</v>
          </cell>
          <cell r="D3" t="str">
            <v>Liberada</v>
          </cell>
          <cell r="E3" t="str">
            <v>No</v>
          </cell>
          <cell r="F3">
            <v>46237</v>
          </cell>
          <cell r="G3" t="str">
            <v>O</v>
          </cell>
          <cell r="H3" t="str">
            <v>LUW863</v>
          </cell>
          <cell r="I3" t="str">
            <v>ACOPLADO BARANDA VOLC. 3 EJES</v>
          </cell>
          <cell r="J3" t="str">
            <v>Cambiar Cubierta 3II</v>
          </cell>
          <cell r="K3" t="str">
            <v>Falta Consumo</v>
          </cell>
        </row>
        <row r="4">
          <cell r="A4">
            <v>38411</v>
          </cell>
          <cell r="B4" t="str">
            <v>Correctivo</v>
          </cell>
          <cell r="C4" t="str">
            <v>MNZA</v>
          </cell>
          <cell r="D4" t="str">
            <v>Liberada</v>
          </cell>
          <cell r="E4" t="str">
            <v>No</v>
          </cell>
          <cell r="F4">
            <v>46237</v>
          </cell>
          <cell r="G4" t="str">
            <v>O</v>
          </cell>
          <cell r="H4" t="str">
            <v>LUW863</v>
          </cell>
          <cell r="I4" t="str">
            <v>ACOPLADO BARANDA VOLC. 3 EJES</v>
          </cell>
          <cell r="J4" t="str">
            <v>Cambiar Cubierta 3DE</v>
          </cell>
          <cell r="K4" t="str">
            <v>Falta Consumo</v>
          </cell>
        </row>
        <row r="5">
          <cell r="A5">
            <v>38534</v>
          </cell>
          <cell r="B5" t="str">
            <v>Correctivo</v>
          </cell>
          <cell r="C5" t="str">
            <v>SRAF</v>
          </cell>
          <cell r="D5" t="str">
            <v>Liberada</v>
          </cell>
          <cell r="E5" t="str">
            <v>No</v>
          </cell>
          <cell r="F5">
            <v>46239</v>
          </cell>
          <cell r="G5" t="str">
            <v>O</v>
          </cell>
          <cell r="H5" t="str">
            <v>MQU466</v>
          </cell>
          <cell r="I5" t="str">
            <v>SCANIA P360 A6X2</v>
          </cell>
          <cell r="J5" t="str">
            <v>Cambiar junta de compresor de aire</v>
          </cell>
          <cell r="K5" t="str">
            <v>Falta Material</v>
          </cell>
        </row>
        <row r="6">
          <cell r="A6">
            <v>38989</v>
          </cell>
          <cell r="B6" t="str">
            <v>Auxilios</v>
          </cell>
          <cell r="C6" t="str">
            <v>SRAF</v>
          </cell>
          <cell r="D6" t="str">
            <v>Liberada</v>
          </cell>
          <cell r="E6" t="str">
            <v>No</v>
          </cell>
          <cell r="F6">
            <v>46239</v>
          </cell>
          <cell r="G6" t="str">
            <v>O</v>
          </cell>
          <cell r="H6" t="str">
            <v>AE812EN</v>
          </cell>
          <cell r="I6" t="str">
            <v>SCANIA P410 A6X2</v>
          </cell>
          <cell r="J6" t="str">
            <v>Cambiar ruleman de rueda trasera izquierda</v>
          </cell>
          <cell r="K6" t="str">
            <v>Falta Material</v>
          </cell>
        </row>
        <row r="7">
          <cell r="A7" t="str">
            <v>38557</v>
          </cell>
          <cell r="B7" t="str">
            <v>Correctivo</v>
          </cell>
          <cell r="C7" t="str">
            <v>SRAF</v>
          </cell>
          <cell r="D7" t="str">
            <v>Liberada</v>
          </cell>
          <cell r="E7" t="str">
            <v>No</v>
          </cell>
          <cell r="F7">
            <v>46240</v>
          </cell>
          <cell r="G7" t="str">
            <v>O</v>
          </cell>
          <cell r="H7" t="str">
            <v>IDX164</v>
          </cell>
          <cell r="I7" t="str">
            <v>AXOR 1933</v>
          </cell>
          <cell r="J7" t="str">
            <v>Sin tarea que requiera material</v>
          </cell>
          <cell r="K7" t="str">
            <v>Falta Tarea</v>
          </cell>
        </row>
        <row r="8">
          <cell r="A8" t="str">
            <v>38557</v>
          </cell>
          <cell r="B8" t="str">
            <v>Correctivo</v>
          </cell>
          <cell r="C8" t="str">
            <v>SRAF</v>
          </cell>
          <cell r="D8" t="str">
            <v>Liberada</v>
          </cell>
          <cell r="E8" t="str">
            <v>No</v>
          </cell>
          <cell r="F8">
            <v>46240</v>
          </cell>
          <cell r="G8" t="str">
            <v>O</v>
          </cell>
          <cell r="H8" t="str">
            <v>IDX164</v>
          </cell>
          <cell r="I8" t="str">
            <v>AXOR 1933</v>
          </cell>
          <cell r="J8" t="str">
            <v>Sin tarea que requiera material</v>
          </cell>
          <cell r="K8" t="str">
            <v>Falta Tarea</v>
          </cell>
        </row>
        <row r="9">
          <cell r="A9">
            <v>38574</v>
          </cell>
          <cell r="B9" t="str">
            <v>Preventivo</v>
          </cell>
          <cell r="C9" t="str">
            <v>CIUD</v>
          </cell>
          <cell r="D9" t="str">
            <v>Liberada</v>
          </cell>
          <cell r="E9" t="str">
            <v>No</v>
          </cell>
          <cell r="F9">
            <v>46240</v>
          </cell>
          <cell r="G9" t="str">
            <v>O</v>
          </cell>
          <cell r="H9" t="str">
            <v>AF743LB</v>
          </cell>
          <cell r="I9" t="str">
            <v>ATEGO 1729</v>
          </cell>
          <cell r="J9" t="str">
            <v>Cambiar filtro de aire</v>
          </cell>
          <cell r="K9" t="str">
            <v>Falta Consumo</v>
          </cell>
        </row>
        <row r="10">
          <cell r="A10" t="str">
            <v>38597</v>
          </cell>
          <cell r="B10" t="str">
            <v>Correctivo</v>
          </cell>
          <cell r="C10" t="str">
            <v>SRAF</v>
          </cell>
          <cell r="D10" t="str">
            <v>Liberada</v>
          </cell>
          <cell r="E10" t="str">
            <v>No</v>
          </cell>
          <cell r="F10">
            <v>46241</v>
          </cell>
          <cell r="G10" t="str">
            <v>O</v>
          </cell>
          <cell r="H10" t="str">
            <v>HRJ002</v>
          </cell>
          <cell r="I10" t="str">
            <v>1318</v>
          </cell>
          <cell r="J10" t="str">
            <v>Sin tarea que requiera material</v>
          </cell>
          <cell r="K10" t="str">
            <v>Falta Tarea</v>
          </cell>
        </row>
        <row r="11">
          <cell r="A11" t="str">
            <v>38597</v>
          </cell>
          <cell r="B11" t="str">
            <v>Correctivo</v>
          </cell>
          <cell r="C11" t="str">
            <v>SRAF</v>
          </cell>
          <cell r="D11" t="str">
            <v>Liberada</v>
          </cell>
          <cell r="E11" t="str">
            <v>No</v>
          </cell>
          <cell r="F11">
            <v>46241</v>
          </cell>
          <cell r="G11" t="str">
            <v>O</v>
          </cell>
          <cell r="H11" t="str">
            <v>HRJ002</v>
          </cell>
          <cell r="I11" t="str">
            <v>1318</v>
          </cell>
          <cell r="J11" t="str">
            <v>Sin tarea que requiera material</v>
          </cell>
          <cell r="K11" t="str">
            <v>Falta Tarea</v>
          </cell>
        </row>
        <row r="12">
          <cell r="A12" t="str">
            <v>38597</v>
          </cell>
          <cell r="B12" t="str">
            <v>Correctivo</v>
          </cell>
          <cell r="C12" t="str">
            <v>SRAF</v>
          </cell>
          <cell r="D12" t="str">
            <v>Liberada</v>
          </cell>
          <cell r="E12" t="str">
            <v>No</v>
          </cell>
          <cell r="F12">
            <v>46241</v>
          </cell>
          <cell r="G12" t="str">
            <v>O</v>
          </cell>
          <cell r="H12" t="str">
            <v>HRJ002</v>
          </cell>
          <cell r="I12" t="str">
            <v>1318</v>
          </cell>
          <cell r="J12" t="str">
            <v>Sin tarea que requiera material</v>
          </cell>
          <cell r="K12" t="str">
            <v>Falta Tarea</v>
          </cell>
        </row>
        <row r="13">
          <cell r="A13" t="str">
            <v>38597</v>
          </cell>
          <cell r="B13" t="str">
            <v>Correctivo</v>
          </cell>
          <cell r="C13" t="str">
            <v>SRAF</v>
          </cell>
          <cell r="D13" t="str">
            <v>Liberada</v>
          </cell>
          <cell r="E13" t="str">
            <v>No</v>
          </cell>
          <cell r="F13">
            <v>46241</v>
          </cell>
          <cell r="G13" t="str">
            <v>O</v>
          </cell>
          <cell r="H13" t="str">
            <v>HRJ002</v>
          </cell>
          <cell r="I13" t="str">
            <v>1318</v>
          </cell>
          <cell r="J13" t="str">
            <v>Sin tarea que requiera material</v>
          </cell>
          <cell r="K13" t="str">
            <v>Falta Tarea</v>
          </cell>
        </row>
        <row r="14">
          <cell r="A14" t="str">
            <v>38600</v>
          </cell>
          <cell r="B14" t="str">
            <v>Correctivo</v>
          </cell>
          <cell r="C14" t="str">
            <v>CIUD</v>
          </cell>
          <cell r="D14" t="str">
            <v>Liberada</v>
          </cell>
          <cell r="E14" t="str">
            <v>No</v>
          </cell>
          <cell r="F14">
            <v>46241</v>
          </cell>
          <cell r="G14" t="str">
            <v>O</v>
          </cell>
          <cell r="H14" t="str">
            <v>AF461DB</v>
          </cell>
          <cell r="I14" t="str">
            <v>PALETERO S.PA.3E.71 2+1</v>
          </cell>
          <cell r="J14" t="str">
            <v>Múltiples repuestos</v>
          </cell>
          <cell r="K14" t="str">
            <v>Ok Contabilizar Si Corresponde</v>
          </cell>
        </row>
        <row r="15">
          <cell r="A15" t="str">
            <v>38600</v>
          </cell>
          <cell r="B15" t="str">
            <v>Correctivo</v>
          </cell>
          <cell r="C15" t="str">
            <v>CIUD</v>
          </cell>
          <cell r="D15" t="str">
            <v>Liberada</v>
          </cell>
          <cell r="E15" t="str">
            <v>No</v>
          </cell>
          <cell r="F15">
            <v>46241</v>
          </cell>
          <cell r="G15" t="str">
            <v>O</v>
          </cell>
          <cell r="H15" t="str">
            <v>AF461DB</v>
          </cell>
          <cell r="I15" t="str">
            <v>PALETERO S.PA.3E.71 2+1</v>
          </cell>
          <cell r="J15" t="str">
            <v>Sin tarea asociada</v>
          </cell>
          <cell r="K15" t="str">
            <v>Ok Contabilizar Si Corresponde</v>
          </cell>
        </row>
        <row r="16">
          <cell r="A16" t="str">
            <v>38600</v>
          </cell>
          <cell r="B16" t="str">
            <v>Correctivo</v>
          </cell>
          <cell r="C16" t="str">
            <v>CIUD</v>
          </cell>
          <cell r="D16" t="str">
            <v>Liberada</v>
          </cell>
          <cell r="E16" t="str">
            <v>No</v>
          </cell>
          <cell r="F16">
            <v>46241</v>
          </cell>
          <cell r="G16" t="str">
            <v>O</v>
          </cell>
          <cell r="H16" t="str">
            <v>AF461DB</v>
          </cell>
          <cell r="I16" t="str">
            <v>PALETERO S.PA.3E.71 2+1</v>
          </cell>
          <cell r="J16" t="str">
            <v>Sin tarea asociada</v>
          </cell>
          <cell r="K16" t="str">
            <v>Ok Contabilizar Si Corresponde</v>
          </cell>
        </row>
        <row r="17">
          <cell r="A17">
            <v>38608</v>
          </cell>
          <cell r="B17" t="str">
            <v>Correctivo</v>
          </cell>
          <cell r="C17" t="str">
            <v>SRAF</v>
          </cell>
          <cell r="D17" t="str">
            <v>Liberada</v>
          </cell>
          <cell r="E17" t="str">
            <v>No</v>
          </cell>
          <cell r="F17">
            <v>46241</v>
          </cell>
          <cell r="G17" t="str">
            <v>O</v>
          </cell>
          <cell r="H17" t="str">
            <v>JHD034</v>
          </cell>
          <cell r="I17" t="str">
            <v>16-BDAS. VOLC. 3 EJES</v>
          </cell>
          <cell r="J17" t="str">
            <v>Engrase Completo</v>
          </cell>
          <cell r="K17" t="str">
            <v>Falta Material</v>
          </cell>
        </row>
        <row r="18">
          <cell r="A18" t="str">
            <v>38608</v>
          </cell>
          <cell r="B18" t="str">
            <v>Correctivo</v>
          </cell>
          <cell r="C18" t="str">
            <v>SRAF</v>
          </cell>
          <cell r="D18" t="str">
            <v>Liberada</v>
          </cell>
          <cell r="E18" t="str">
            <v>No</v>
          </cell>
          <cell r="F18">
            <v>46241</v>
          </cell>
          <cell r="G18" t="str">
            <v>O</v>
          </cell>
          <cell r="H18" t="str">
            <v>JHD034</v>
          </cell>
          <cell r="I18" t="str">
            <v>16-BDAS. VOLC. 3 EJES</v>
          </cell>
          <cell r="J18" t="str">
            <v>Sin tarea asociada</v>
          </cell>
          <cell r="K18" t="str">
            <v>Ok Contabilizar Si Corresponde</v>
          </cell>
        </row>
        <row r="19">
          <cell r="A19">
            <v>38610</v>
          </cell>
          <cell r="B19" t="str">
            <v>Correctivo</v>
          </cell>
          <cell r="C19" t="str">
            <v>SRAF</v>
          </cell>
          <cell r="D19" t="str">
            <v>Liberada</v>
          </cell>
          <cell r="E19" t="str">
            <v>No</v>
          </cell>
          <cell r="F19">
            <v>46241</v>
          </cell>
          <cell r="G19" t="str">
            <v>O</v>
          </cell>
          <cell r="H19" t="str">
            <v>OAF642</v>
          </cell>
          <cell r="I19" t="str">
            <v>G310</v>
          </cell>
          <cell r="J19" t="str">
            <v>Agregar Aceite (Tractor)</v>
          </cell>
          <cell r="K19" t="str">
            <v>Falta Material</v>
          </cell>
        </row>
        <row r="20">
          <cell r="A20">
            <v>38610</v>
          </cell>
          <cell r="B20" t="str">
            <v>Correctivo</v>
          </cell>
          <cell r="C20" t="str">
            <v>SRAF</v>
          </cell>
          <cell r="D20" t="str">
            <v>Liberada</v>
          </cell>
          <cell r="E20" t="str">
            <v>No</v>
          </cell>
          <cell r="F20">
            <v>46241</v>
          </cell>
          <cell r="G20" t="str">
            <v>O</v>
          </cell>
          <cell r="H20" t="str">
            <v>OAF642</v>
          </cell>
          <cell r="I20" t="str">
            <v>G310</v>
          </cell>
          <cell r="J20" t="str">
            <v>Engrase Completo</v>
          </cell>
          <cell r="K20" t="str">
            <v>Falta Material</v>
          </cell>
        </row>
        <row r="21">
          <cell r="A21">
            <v>38612</v>
          </cell>
          <cell r="B21" t="str">
            <v>Correctivo</v>
          </cell>
          <cell r="C21" t="str">
            <v>SRAF</v>
          </cell>
          <cell r="D21" t="str">
            <v>Liberada</v>
          </cell>
          <cell r="E21" t="str">
            <v>No</v>
          </cell>
          <cell r="F21">
            <v>46241</v>
          </cell>
          <cell r="G21" t="str">
            <v>O</v>
          </cell>
          <cell r="H21" t="str">
            <v>OAF643</v>
          </cell>
          <cell r="I21" t="str">
            <v>G310</v>
          </cell>
          <cell r="J21" t="str">
            <v>Agregar Aceite (Tractor)</v>
          </cell>
          <cell r="K21" t="str">
            <v>Falta Material</v>
          </cell>
        </row>
        <row r="22">
          <cell r="A22">
            <v>38612</v>
          </cell>
          <cell r="B22" t="str">
            <v>Correctivo</v>
          </cell>
          <cell r="C22" t="str">
            <v>SRAF</v>
          </cell>
          <cell r="D22" t="str">
            <v>Liberada</v>
          </cell>
          <cell r="E22" t="str">
            <v>No</v>
          </cell>
          <cell r="F22">
            <v>46241</v>
          </cell>
          <cell r="G22" t="str">
            <v>O</v>
          </cell>
          <cell r="H22" t="str">
            <v>OAF643</v>
          </cell>
          <cell r="I22" t="str">
            <v>G310</v>
          </cell>
          <cell r="J22" t="str">
            <v>Engrase Completo</v>
          </cell>
          <cell r="K22" t="str">
            <v>Falta Material</v>
          </cell>
        </row>
        <row r="23">
          <cell r="A23">
            <v>38936</v>
          </cell>
          <cell r="B23" t="str">
            <v>Correctivo</v>
          </cell>
          <cell r="C23" t="str">
            <v>CIUD</v>
          </cell>
          <cell r="D23" t="str">
            <v>Liberada</v>
          </cell>
          <cell r="E23" t="str">
            <v>No</v>
          </cell>
          <cell r="F23">
            <v>46241</v>
          </cell>
          <cell r="G23" t="str">
            <v>O</v>
          </cell>
          <cell r="H23" t="str">
            <v>AD426IJ</v>
          </cell>
          <cell r="I23" t="str">
            <v>AXOR 2541</v>
          </cell>
          <cell r="J23" t="str">
            <v>Engraso Plato</v>
          </cell>
          <cell r="K23" t="str">
            <v>Falta Consumo</v>
          </cell>
        </row>
        <row r="24">
          <cell r="A24">
            <v>39113</v>
          </cell>
          <cell r="B24" t="str">
            <v>Correctivo</v>
          </cell>
          <cell r="C24" t="str">
            <v>CIUD</v>
          </cell>
          <cell r="D24" t="str">
            <v>Liberada</v>
          </cell>
          <cell r="E24" t="str">
            <v>No</v>
          </cell>
          <cell r="F24">
            <v>46242</v>
          </cell>
          <cell r="G24" t="str">
            <v>O</v>
          </cell>
          <cell r="H24" t="str">
            <v>AD426HX</v>
          </cell>
          <cell r="I24" t="str">
            <v>AXOR 2541</v>
          </cell>
          <cell r="J24" t="str">
            <v>Cambiar comando levanta vidrio</v>
          </cell>
          <cell r="K24" t="str">
            <v>Falta Consumo</v>
          </cell>
        </row>
        <row r="25">
          <cell r="A25" t="str">
            <v>38974</v>
          </cell>
          <cell r="B25" t="str">
            <v>Correctivo</v>
          </cell>
          <cell r="C25" t="str">
            <v>MNZA</v>
          </cell>
          <cell r="D25" t="str">
            <v>Liberada</v>
          </cell>
          <cell r="E25" t="str">
            <v>No</v>
          </cell>
          <cell r="F25">
            <v>46244</v>
          </cell>
          <cell r="G25" t="str">
            <v>O</v>
          </cell>
          <cell r="H25" t="str">
            <v>HRJ003</v>
          </cell>
          <cell r="I25" t="str">
            <v>1318</v>
          </cell>
          <cell r="J25" t="str">
            <v>Sin tarea asociada</v>
          </cell>
          <cell r="K25" t="str">
            <v>Ok</v>
          </cell>
        </row>
        <row r="26">
          <cell r="A26">
            <v>39128</v>
          </cell>
          <cell r="B26" t="str">
            <v>Correctivo</v>
          </cell>
          <cell r="C26" t="str">
            <v>CIUD</v>
          </cell>
          <cell r="D26" t="str">
            <v>Liberada</v>
          </cell>
          <cell r="E26" t="str">
            <v>No</v>
          </cell>
          <cell r="F26">
            <v>46244</v>
          </cell>
          <cell r="G26" t="str">
            <v>O</v>
          </cell>
          <cell r="H26" t="str">
            <v>AF066NS</v>
          </cell>
          <cell r="I26" t="str">
            <v>TECTOR EVO 170E28</v>
          </cell>
          <cell r="J26" t="str">
            <v>Cambiar Rueda Completa C/Llanta Delantera Der</v>
          </cell>
          <cell r="K26" t="str">
            <v>Falta Consumo</v>
          </cell>
        </row>
        <row r="27">
          <cell r="A27" t="str">
            <v>38985</v>
          </cell>
          <cell r="B27" t="str">
            <v>Correctivo</v>
          </cell>
          <cell r="C27" t="str">
            <v>SRAF</v>
          </cell>
          <cell r="D27" t="str">
            <v>Liberada</v>
          </cell>
          <cell r="E27" t="str">
            <v>No</v>
          </cell>
          <cell r="F27">
            <v>46245</v>
          </cell>
          <cell r="G27" t="str">
            <v>O</v>
          </cell>
          <cell r="H27" t="str">
            <v>KUF609</v>
          </cell>
          <cell r="I27" t="str">
            <v>AXOR 1933</v>
          </cell>
          <cell r="J27" t="str">
            <v>Sin tarea que requiera material</v>
          </cell>
          <cell r="K27" t="str">
            <v>Falta Tarea</v>
          </cell>
        </row>
        <row r="28">
          <cell r="A28" t="str">
            <v>38986</v>
          </cell>
          <cell r="B28" t="str">
            <v>Correctivo</v>
          </cell>
          <cell r="C28" t="str">
            <v>SRAF</v>
          </cell>
          <cell r="D28" t="str">
            <v>Liberada</v>
          </cell>
          <cell r="E28" t="str">
            <v>No</v>
          </cell>
          <cell r="F28">
            <v>46245</v>
          </cell>
          <cell r="G28" t="str">
            <v>O</v>
          </cell>
          <cell r="H28" t="str">
            <v>FQT894</v>
          </cell>
          <cell r="I28" t="str">
            <v>1620</v>
          </cell>
          <cell r="J28" t="str">
            <v>Sin tarea que requiera material</v>
          </cell>
          <cell r="K28" t="str">
            <v>Falta Tarea</v>
          </cell>
        </row>
        <row r="29">
          <cell r="A29" t="str">
            <v>38992</v>
          </cell>
          <cell r="B29" t="str">
            <v>Correctivo</v>
          </cell>
          <cell r="C29" t="str">
            <v>SRAF</v>
          </cell>
          <cell r="D29" t="str">
            <v>Liberada</v>
          </cell>
          <cell r="E29" t="str">
            <v>No</v>
          </cell>
          <cell r="F29">
            <v>46245</v>
          </cell>
          <cell r="G29"/>
          <cell r="H29" t="str">
            <v>INSUMOS SRF</v>
          </cell>
          <cell r="I29" t="str">
            <v>INSUMOS SAN RAFAEL</v>
          </cell>
          <cell r="J29" t="str">
            <v>Sin tarea que requiera material</v>
          </cell>
          <cell r="K29" t="str">
            <v>Ok Revisar tipo OM</v>
          </cell>
        </row>
        <row r="30">
          <cell r="A30" t="str">
            <v>38992</v>
          </cell>
          <cell r="B30" t="str">
            <v>Correctivo</v>
          </cell>
          <cell r="C30" t="str">
            <v>SRAF</v>
          </cell>
          <cell r="D30" t="str">
            <v>Liberada</v>
          </cell>
          <cell r="E30" t="str">
            <v>No</v>
          </cell>
          <cell r="F30">
            <v>46245</v>
          </cell>
          <cell r="G30"/>
          <cell r="H30" t="str">
            <v>INSUMOS SRF</v>
          </cell>
          <cell r="I30" t="str">
            <v>INSUMOS SAN RAFAEL</v>
          </cell>
          <cell r="J30" t="str">
            <v>Sin tarea que requiera material</v>
          </cell>
          <cell r="K30" t="str">
            <v>Ok Revisar tipo OM</v>
          </cell>
        </row>
        <row r="31">
          <cell r="A31" t="str">
            <v>38992</v>
          </cell>
          <cell r="B31" t="str">
            <v>Correctivo</v>
          </cell>
          <cell r="C31" t="str">
            <v>SRAF</v>
          </cell>
          <cell r="D31" t="str">
            <v>Liberada</v>
          </cell>
          <cell r="E31" t="str">
            <v>No</v>
          </cell>
          <cell r="F31">
            <v>46245</v>
          </cell>
          <cell r="G31"/>
          <cell r="H31" t="str">
            <v>INSUMOS SRF</v>
          </cell>
          <cell r="I31" t="str">
            <v>INSUMOS SAN RAFAEL</v>
          </cell>
          <cell r="J31" t="str">
            <v>Sin tarea que requiera material</v>
          </cell>
          <cell r="K31" t="str">
            <v>Ok Revisar tipo OM</v>
          </cell>
        </row>
        <row r="32">
          <cell r="A32" t="str">
            <v>38993</v>
          </cell>
          <cell r="B32" t="str">
            <v>Auxilios</v>
          </cell>
          <cell r="C32" t="str">
            <v>MNZA</v>
          </cell>
          <cell r="D32" t="str">
            <v>Liberada</v>
          </cell>
          <cell r="E32" t="str">
            <v>No</v>
          </cell>
          <cell r="F32">
            <v>46245</v>
          </cell>
          <cell r="G32" t="str">
            <v>O</v>
          </cell>
          <cell r="H32" t="str">
            <v>AB696BS</v>
          </cell>
          <cell r="I32" t="str">
            <v>ATRON 1735 45</v>
          </cell>
          <cell r="J32" t="str">
            <v>Sin tarea asociada</v>
          </cell>
          <cell r="K32" t="str">
            <v>Ok</v>
          </cell>
        </row>
        <row r="33">
          <cell r="A33" t="str">
            <v>39004</v>
          </cell>
          <cell r="B33" t="str">
            <v>Insumo</v>
          </cell>
          <cell r="C33" t="str">
            <v>MNZA</v>
          </cell>
          <cell r="D33" t="str">
            <v>Liberada</v>
          </cell>
          <cell r="E33" t="str">
            <v>No</v>
          </cell>
          <cell r="F33">
            <v>46245</v>
          </cell>
          <cell r="G33"/>
          <cell r="H33" t="str">
            <v>ESTRUCTURA MZ</v>
          </cell>
          <cell r="I33" t="str">
            <v>ESTRUCTURA MENDOZA</v>
          </cell>
          <cell r="J33" t="str">
            <v>Sin tarea que requiera material</v>
          </cell>
          <cell r="K33" t="str">
            <v>Falta Tarea (Ver es estructura)</v>
          </cell>
        </row>
        <row r="34">
          <cell r="A34" t="str">
            <v>39004</v>
          </cell>
          <cell r="B34" t="str">
            <v>Insumo</v>
          </cell>
          <cell r="C34" t="str">
            <v>MNZA</v>
          </cell>
          <cell r="D34" t="str">
            <v>Liberada</v>
          </cell>
          <cell r="E34" t="str">
            <v>No</v>
          </cell>
          <cell r="F34">
            <v>46245</v>
          </cell>
          <cell r="G34"/>
          <cell r="H34" t="str">
            <v>ESTRUCTURA MZ</v>
          </cell>
          <cell r="I34" t="str">
            <v>ESTRUCTURA MENDOZA</v>
          </cell>
          <cell r="J34" t="str">
            <v>Sin tarea que requiera material</v>
          </cell>
          <cell r="K34" t="str">
            <v>Falta Tarea (Ver es estructura)</v>
          </cell>
        </row>
        <row r="35">
          <cell r="A35">
            <v>39010</v>
          </cell>
          <cell r="B35" t="str">
            <v>Correctivo</v>
          </cell>
          <cell r="C35" t="str">
            <v>SRAF</v>
          </cell>
          <cell r="D35" t="str">
            <v>Liberada</v>
          </cell>
          <cell r="E35" t="str">
            <v>No</v>
          </cell>
          <cell r="F35">
            <v>46245</v>
          </cell>
          <cell r="G35" t="str">
            <v>O</v>
          </cell>
          <cell r="H35" t="str">
            <v>IBB073</v>
          </cell>
          <cell r="I35" t="str">
            <v>S PA 3E 71</v>
          </cell>
          <cell r="J35" t="str">
            <v>Engrase Completo</v>
          </cell>
          <cell r="K35" t="str">
            <v>Falta Material</v>
          </cell>
        </row>
        <row r="36">
          <cell r="A36">
            <v>39151</v>
          </cell>
          <cell r="B36" t="str">
            <v>Correctivo</v>
          </cell>
          <cell r="C36" t="str">
            <v>CIUD</v>
          </cell>
          <cell r="D36" t="str">
            <v>Liberada</v>
          </cell>
          <cell r="E36" t="str">
            <v>No</v>
          </cell>
          <cell r="F36">
            <v>46245</v>
          </cell>
          <cell r="G36" t="str">
            <v>O</v>
          </cell>
          <cell r="H36" t="str">
            <v>AD426IJ</v>
          </cell>
          <cell r="I36" t="str">
            <v>AXOR 2541</v>
          </cell>
          <cell r="J36" t="str">
            <v>Cambiar lampara h3 24v</v>
          </cell>
          <cell r="K36" t="str">
            <v>Falta Consumo</v>
          </cell>
        </row>
        <row r="37">
          <cell r="A37" t="str">
            <v>39044</v>
          </cell>
          <cell r="B37" t="str">
            <v>Correctivo</v>
          </cell>
          <cell r="C37" t="str">
            <v>CIUD</v>
          </cell>
          <cell r="D37" t="str">
            <v>Cerrada</v>
          </cell>
          <cell r="E37" t="str">
            <v>No</v>
          </cell>
          <cell r="F37">
            <v>46246</v>
          </cell>
          <cell r="G37" t="str">
            <v>O</v>
          </cell>
          <cell r="H37" t="str">
            <v>KMF921</v>
          </cell>
          <cell r="I37" t="str">
            <v>FTHDCFW3</v>
          </cell>
          <cell r="J37" t="str">
            <v>Sin tarea asociada</v>
          </cell>
          <cell r="K37" t="str">
            <v xml:space="preserve">Ok </v>
          </cell>
        </row>
        <row r="38">
          <cell r="A38" t="str">
            <v>39044</v>
          </cell>
          <cell r="B38" t="str">
            <v>Correctivo</v>
          </cell>
          <cell r="C38" t="str">
            <v>CIUD</v>
          </cell>
          <cell r="D38" t="str">
            <v>Cerrada</v>
          </cell>
          <cell r="E38" t="str">
            <v>No</v>
          </cell>
          <cell r="F38">
            <v>46246</v>
          </cell>
          <cell r="G38" t="str">
            <v>O</v>
          </cell>
          <cell r="H38" t="str">
            <v>KMF921</v>
          </cell>
          <cell r="I38" t="str">
            <v>FTHDCFW3</v>
          </cell>
          <cell r="J38" t="str">
            <v>Sin tarea asociada</v>
          </cell>
          <cell r="K38" t="str">
            <v xml:space="preserve">Ok </v>
          </cell>
        </row>
        <row r="39">
          <cell r="A39">
            <v>39322</v>
          </cell>
          <cell r="B39" t="str">
            <v>Correctivo</v>
          </cell>
          <cell r="C39" t="str">
            <v>MNZA</v>
          </cell>
          <cell r="D39" t="str">
            <v>Liberada</v>
          </cell>
          <cell r="E39" t="str">
            <v>No</v>
          </cell>
          <cell r="F39">
            <v>46246</v>
          </cell>
          <cell r="G39" t="str">
            <v>O</v>
          </cell>
          <cell r="H39" t="str">
            <v>GYB034</v>
          </cell>
          <cell r="I39" t="str">
            <v>710</v>
          </cell>
          <cell r="J39" t="str">
            <v>Agregar liquido refrigerante</v>
          </cell>
          <cell r="K39" t="str">
            <v>Falta Consumo</v>
          </cell>
        </row>
        <row r="40">
          <cell r="A40">
            <v>39322</v>
          </cell>
          <cell r="B40" t="str">
            <v>Correctivo</v>
          </cell>
          <cell r="C40" t="str">
            <v>MNZA</v>
          </cell>
          <cell r="D40" t="str">
            <v>Liberada</v>
          </cell>
          <cell r="E40" t="str">
            <v>No</v>
          </cell>
          <cell r="F40">
            <v>46246</v>
          </cell>
          <cell r="G40" t="str">
            <v>O</v>
          </cell>
          <cell r="H40" t="str">
            <v>GYB034</v>
          </cell>
          <cell r="I40" t="str">
            <v>710</v>
          </cell>
          <cell r="J40" t="str">
            <v>Cambiar bomba de agua</v>
          </cell>
          <cell r="K40" t="str">
            <v>Falta Consumo</v>
          </cell>
        </row>
        <row r="41">
          <cell r="A41">
            <v>39322</v>
          </cell>
          <cell r="B41" t="str">
            <v>Correctivo</v>
          </cell>
          <cell r="C41" t="str">
            <v>MNZA</v>
          </cell>
          <cell r="D41" t="str">
            <v>Liberada</v>
          </cell>
          <cell r="E41" t="str">
            <v>No</v>
          </cell>
          <cell r="F41">
            <v>46246</v>
          </cell>
          <cell r="G41" t="str">
            <v>O</v>
          </cell>
          <cell r="H41" t="str">
            <v>GYB034</v>
          </cell>
          <cell r="I41" t="str">
            <v>710</v>
          </cell>
          <cell r="J41" t="str">
            <v>Cambiar lampara 3w 24v</v>
          </cell>
          <cell r="K41" t="str">
            <v>Falta Consumo</v>
          </cell>
        </row>
        <row r="42">
          <cell r="A42">
            <v>39323</v>
          </cell>
          <cell r="B42" t="str">
            <v>Correctivo</v>
          </cell>
          <cell r="C42" t="str">
            <v>MNZA</v>
          </cell>
          <cell r="D42" t="str">
            <v>Liberada</v>
          </cell>
          <cell r="E42" t="str">
            <v>No</v>
          </cell>
          <cell r="F42">
            <v>46247</v>
          </cell>
          <cell r="G42" t="str">
            <v>O</v>
          </cell>
          <cell r="H42" t="str">
            <v>IDX164</v>
          </cell>
          <cell r="I42" t="str">
            <v>AXOR 1933</v>
          </cell>
          <cell r="J42" t="str">
            <v>Cambiar Líquido Refrigerante</v>
          </cell>
          <cell r="K42" t="str">
            <v>Falta Consumo</v>
          </cell>
        </row>
        <row r="43">
          <cell r="A43">
            <v>39324</v>
          </cell>
          <cell r="B43" t="str">
            <v>Correctivo</v>
          </cell>
          <cell r="C43" t="str">
            <v>MNZA</v>
          </cell>
          <cell r="D43" t="str">
            <v>Liberada</v>
          </cell>
          <cell r="E43" t="str">
            <v>No</v>
          </cell>
          <cell r="F43">
            <v>46247</v>
          </cell>
          <cell r="G43" t="str">
            <v>O</v>
          </cell>
          <cell r="H43" t="str">
            <v>FFJ868</v>
          </cell>
          <cell r="I43" t="str">
            <v>1218</v>
          </cell>
          <cell r="J43" t="str">
            <v>Cambiar valvula 6 vias</v>
          </cell>
          <cell r="K43" t="str">
            <v>Falta Consumo</v>
          </cell>
        </row>
        <row r="44">
          <cell r="A44">
            <v>39324</v>
          </cell>
          <cell r="B44" t="str">
            <v>Correctivo</v>
          </cell>
          <cell r="C44" t="str">
            <v>MNZA</v>
          </cell>
          <cell r="D44" t="str">
            <v>Liberada</v>
          </cell>
          <cell r="E44" t="str">
            <v>No</v>
          </cell>
          <cell r="F44">
            <v>46247</v>
          </cell>
          <cell r="G44" t="str">
            <v>O</v>
          </cell>
          <cell r="H44" t="str">
            <v>FFJ868</v>
          </cell>
          <cell r="I44" t="str">
            <v>1218</v>
          </cell>
          <cell r="J44" t="str">
            <v>Cambiar Bloqueador</v>
          </cell>
          <cell r="K44" t="str">
            <v>Falta Consumo</v>
          </cell>
        </row>
        <row r="45">
          <cell r="A45">
            <v>39324</v>
          </cell>
          <cell r="B45" t="str">
            <v>Correctivo</v>
          </cell>
          <cell r="C45" t="str">
            <v>MNZA</v>
          </cell>
          <cell r="D45" t="str">
            <v>Liberada</v>
          </cell>
          <cell r="E45" t="str">
            <v>No</v>
          </cell>
          <cell r="F45">
            <v>46247</v>
          </cell>
          <cell r="G45" t="str">
            <v>O</v>
          </cell>
          <cell r="H45" t="str">
            <v>FFJ868</v>
          </cell>
          <cell r="I45" t="str">
            <v>1218</v>
          </cell>
          <cell r="J45" t="str">
            <v>Cambiar Pulmon De Freno</v>
          </cell>
          <cell r="K45" t="str">
            <v>Falta Consumo</v>
          </cell>
        </row>
        <row r="46">
          <cell r="A46">
            <v>39325</v>
          </cell>
          <cell r="B46" t="str">
            <v>Correctivo</v>
          </cell>
          <cell r="C46" t="str">
            <v>MNZA</v>
          </cell>
          <cell r="D46" t="str">
            <v>Liberada</v>
          </cell>
          <cell r="E46" t="str">
            <v>No</v>
          </cell>
          <cell r="F46">
            <v>46247</v>
          </cell>
          <cell r="G46" t="str">
            <v>O</v>
          </cell>
          <cell r="H46" t="str">
            <v>KGM735</v>
          </cell>
          <cell r="I46" t="str">
            <v>ATEGO 1725</v>
          </cell>
          <cell r="J46" t="str">
            <v>Cambiar lampara h7 24v</v>
          </cell>
          <cell r="K46" t="str">
            <v>Falta Consumo</v>
          </cell>
        </row>
        <row r="47">
          <cell r="A47">
            <v>39326</v>
          </cell>
          <cell r="B47" t="str">
            <v>Correctivo</v>
          </cell>
          <cell r="C47" t="str">
            <v>MNZA</v>
          </cell>
          <cell r="D47" t="str">
            <v>Liberada</v>
          </cell>
          <cell r="E47" t="str">
            <v>No</v>
          </cell>
          <cell r="F47">
            <v>46247</v>
          </cell>
          <cell r="G47" t="str">
            <v>O</v>
          </cell>
          <cell r="H47" t="str">
            <v>MYR537</v>
          </cell>
          <cell r="I47" t="str">
            <v>ATEGO 1725</v>
          </cell>
          <cell r="J47" t="str">
            <v>Cambiar Espejo Lado Der</v>
          </cell>
          <cell r="K47" t="str">
            <v>Falta Consumo</v>
          </cell>
        </row>
        <row r="48">
          <cell r="A48">
            <v>39327</v>
          </cell>
          <cell r="B48" t="str">
            <v>Correctivo</v>
          </cell>
          <cell r="C48" t="str">
            <v>MNZA</v>
          </cell>
          <cell r="D48" t="str">
            <v>Liberada</v>
          </cell>
          <cell r="E48" t="str">
            <v>No</v>
          </cell>
          <cell r="F48">
            <v>46247</v>
          </cell>
          <cell r="G48" t="str">
            <v>O</v>
          </cell>
          <cell r="H48" t="str">
            <v>LRN157</v>
          </cell>
          <cell r="I48" t="str">
            <v>ATEGO 1725</v>
          </cell>
          <cell r="J48" t="str">
            <v>Cambiar lampara h1 24v</v>
          </cell>
          <cell r="K48" t="str">
            <v>Falta Consumo</v>
          </cell>
        </row>
        <row r="49">
          <cell r="A49" t="str">
            <v>39265</v>
          </cell>
          <cell r="B49" t="str">
            <v>Correctivo</v>
          </cell>
          <cell r="C49" t="str">
            <v>CIUD</v>
          </cell>
          <cell r="D49" t="str">
            <v>Liberada</v>
          </cell>
          <cell r="E49" t="str">
            <v>No</v>
          </cell>
          <cell r="F49">
            <v>46248</v>
          </cell>
          <cell r="G49" t="str">
            <v>O</v>
          </cell>
          <cell r="H49" t="str">
            <v>AD426HZ</v>
          </cell>
          <cell r="I49" t="str">
            <v>AXOR 2541</v>
          </cell>
          <cell r="J49" t="str">
            <v>Sin tarea asociada</v>
          </cell>
          <cell r="K49" t="str">
            <v>Falta Tarea</v>
          </cell>
        </row>
        <row r="50">
          <cell r="A50">
            <v>39277</v>
          </cell>
          <cell r="B50" t="str">
            <v>Correctivo</v>
          </cell>
          <cell r="C50" t="str">
            <v>CIUD</v>
          </cell>
          <cell r="D50" t="str">
            <v>Liberada</v>
          </cell>
          <cell r="E50" t="str">
            <v>No</v>
          </cell>
          <cell r="F50">
            <v>46248</v>
          </cell>
          <cell r="G50" t="str">
            <v>O</v>
          </cell>
          <cell r="H50" t="str">
            <v>OHH593</v>
          </cell>
          <cell r="I50" t="str">
            <v>ATRON 1720</v>
          </cell>
          <cell r="J50" t="str">
            <v>Engrase tractor completo</v>
          </cell>
          <cell r="K50" t="str">
            <v>Falta Consumo</v>
          </cell>
        </row>
        <row r="51">
          <cell r="A51" t="str">
            <v>39277</v>
          </cell>
          <cell r="B51" t="str">
            <v>Correctivo</v>
          </cell>
          <cell r="C51" t="str">
            <v>CIUD</v>
          </cell>
          <cell r="D51" t="str">
            <v>Liberada</v>
          </cell>
          <cell r="E51" t="str">
            <v>No</v>
          </cell>
          <cell r="F51">
            <v>46248</v>
          </cell>
          <cell r="G51" t="str">
            <v>O</v>
          </cell>
          <cell r="H51" t="str">
            <v>OHH593</v>
          </cell>
          <cell r="I51" t="str">
            <v>ATRON 1720</v>
          </cell>
          <cell r="J51" t="str">
            <v>Múltiples repuestos</v>
          </cell>
          <cell r="K51" t="str">
            <v>Materiales Repetidos</v>
          </cell>
        </row>
        <row r="52">
          <cell r="A52" t="str">
            <v>39286</v>
          </cell>
          <cell r="B52" t="str">
            <v>Correctivo</v>
          </cell>
          <cell r="C52" t="str">
            <v>CIUD</v>
          </cell>
          <cell r="D52" t="str">
            <v>Cerrada</v>
          </cell>
          <cell r="E52" t="str">
            <v>No</v>
          </cell>
          <cell r="F52">
            <v>46252</v>
          </cell>
          <cell r="G52" t="str">
            <v>O</v>
          </cell>
          <cell r="H52" t="str">
            <v>GTE289</v>
          </cell>
          <cell r="I52" t="str">
            <v>1624</v>
          </cell>
          <cell r="J52" t="str">
            <v>Sin tarea que requiera material</v>
          </cell>
          <cell r="K52" t="str">
            <v>Falta Tarea</v>
          </cell>
        </row>
        <row r="53">
          <cell r="A53">
            <v>39334</v>
          </cell>
          <cell r="B53" t="str">
            <v>Correctivo</v>
          </cell>
          <cell r="C53" t="str">
            <v>CIUD</v>
          </cell>
          <cell r="D53" t="str">
            <v>Cerrada</v>
          </cell>
          <cell r="E53" t="str">
            <v>No</v>
          </cell>
          <cell r="F53">
            <v>46252</v>
          </cell>
          <cell r="G53" t="str">
            <v>O</v>
          </cell>
          <cell r="H53" t="str">
            <v>AF746ED</v>
          </cell>
          <cell r="I53" t="str">
            <v>TECTOR EVO 170E28</v>
          </cell>
          <cell r="J53" t="str">
            <v>Engrase tractor completo</v>
          </cell>
          <cell r="K53" t="str">
            <v>Falta Material</v>
          </cell>
        </row>
        <row r="54">
          <cell r="A54">
            <v>39341</v>
          </cell>
          <cell r="B54" t="str">
            <v>Correctivo</v>
          </cell>
          <cell r="C54" t="str">
            <v>CIUD</v>
          </cell>
          <cell r="D54" t="str">
            <v>Liberada</v>
          </cell>
          <cell r="E54" t="str">
            <v>No</v>
          </cell>
          <cell r="F54">
            <v>46252</v>
          </cell>
          <cell r="G54" t="str">
            <v>O</v>
          </cell>
          <cell r="H54" t="str">
            <v>AF642OT</v>
          </cell>
          <cell r="I54" t="str">
            <v>ATEGO 1721</v>
          </cell>
          <cell r="J54" t="str">
            <v>Reparo Instalacion De Farito Colgante Lado Der</v>
          </cell>
          <cell r="K54" t="str">
            <v>Falta Consumo</v>
          </cell>
        </row>
        <row r="55">
          <cell r="A55">
            <v>39341</v>
          </cell>
          <cell r="B55" t="str">
            <v>Correctivo</v>
          </cell>
          <cell r="C55" t="str">
            <v>CIUD</v>
          </cell>
          <cell r="D55" t="str">
            <v>Liberada</v>
          </cell>
          <cell r="E55" t="str">
            <v>No</v>
          </cell>
          <cell r="F55">
            <v>46252</v>
          </cell>
          <cell r="G55" t="str">
            <v>O</v>
          </cell>
          <cell r="H55" t="str">
            <v>AF642OT</v>
          </cell>
          <cell r="I55" t="str">
            <v>ATEGO 1721</v>
          </cell>
          <cell r="J55" t="str">
            <v>Lubricar Guia De Lona y Regulo</v>
          </cell>
          <cell r="K55" t="str">
            <v>Falta Consumo</v>
          </cell>
        </row>
        <row r="56">
          <cell r="A56">
            <v>39341</v>
          </cell>
          <cell r="B56" t="str">
            <v>Correctivo</v>
          </cell>
          <cell r="C56" t="str">
            <v>CIUD</v>
          </cell>
          <cell r="D56" t="str">
            <v>Liberada</v>
          </cell>
          <cell r="E56" t="str">
            <v>No</v>
          </cell>
          <cell r="F56">
            <v>46252</v>
          </cell>
          <cell r="G56" t="str">
            <v>O</v>
          </cell>
          <cell r="H56" t="str">
            <v>AF642OT</v>
          </cell>
          <cell r="I56" t="str">
            <v>ATEGO 1721</v>
          </cell>
          <cell r="J56" t="str">
            <v>Lubricar Carritos De Lonas Y Parantes</v>
          </cell>
          <cell r="K56" t="str">
            <v>Falta Consumo</v>
          </cell>
        </row>
        <row r="57">
          <cell r="A57">
            <v>39341</v>
          </cell>
          <cell r="B57" t="str">
            <v>Correctivo</v>
          </cell>
          <cell r="C57" t="str">
            <v>CIUD</v>
          </cell>
          <cell r="D57" t="str">
            <v>Liberada</v>
          </cell>
          <cell r="E57" t="str">
            <v>No</v>
          </cell>
          <cell r="F57">
            <v>46252</v>
          </cell>
          <cell r="G57" t="str">
            <v>O</v>
          </cell>
          <cell r="H57" t="str">
            <v>AF642OT</v>
          </cell>
          <cell r="I57" t="str">
            <v>ATEGO 1721</v>
          </cell>
          <cell r="J57" t="str">
            <v>Engrase tractor completo</v>
          </cell>
          <cell r="K57" t="str">
            <v>Falta Consumo</v>
          </cell>
        </row>
        <row r="58">
          <cell r="A58">
            <v>39341</v>
          </cell>
          <cell r="B58" t="str">
            <v>Correctivo</v>
          </cell>
          <cell r="C58" t="str">
            <v>CIUD</v>
          </cell>
          <cell r="D58" t="str">
            <v>Liberada</v>
          </cell>
          <cell r="E58" t="str">
            <v>No</v>
          </cell>
          <cell r="F58">
            <v>46252</v>
          </cell>
          <cell r="G58" t="str">
            <v>O</v>
          </cell>
          <cell r="H58" t="str">
            <v>AF642OT</v>
          </cell>
          <cell r="I58" t="str">
            <v>ATEGO 1721</v>
          </cell>
          <cell r="J58" t="str">
            <v>Engrasar Carritos de Lona</v>
          </cell>
          <cell r="K58" t="str">
            <v>Falta Consumo</v>
          </cell>
        </row>
        <row r="59">
          <cell r="A59">
            <v>39341</v>
          </cell>
          <cell r="B59" t="str">
            <v>Correctivo</v>
          </cell>
          <cell r="C59" t="str">
            <v>CIUD</v>
          </cell>
          <cell r="D59" t="str">
            <v>Liberada</v>
          </cell>
          <cell r="E59" t="str">
            <v>No</v>
          </cell>
          <cell r="F59">
            <v>46252</v>
          </cell>
          <cell r="G59" t="str">
            <v>O</v>
          </cell>
          <cell r="H59" t="str">
            <v>AF642OT</v>
          </cell>
          <cell r="I59" t="str">
            <v>ATEGO 1721</v>
          </cell>
          <cell r="J59" t="str">
            <v>Cambiar lamparas</v>
          </cell>
          <cell r="K59" t="str">
            <v>Falta Consumo</v>
          </cell>
        </row>
        <row r="60">
          <cell r="A60">
            <v>39343</v>
          </cell>
          <cell r="B60" t="str">
            <v>Correctivo</v>
          </cell>
          <cell r="C60" t="str">
            <v>CIUD</v>
          </cell>
          <cell r="D60" t="str">
            <v>Liberada</v>
          </cell>
          <cell r="E60" t="str">
            <v>No</v>
          </cell>
          <cell r="F60">
            <v>46252</v>
          </cell>
          <cell r="G60" t="str">
            <v>O</v>
          </cell>
          <cell r="H60" t="str">
            <v>OJG097</v>
          </cell>
          <cell r="I60" t="str">
            <v>ATEGO 1725</v>
          </cell>
          <cell r="J60" t="str">
            <v>Engrase tractor completo</v>
          </cell>
          <cell r="K60" t="str">
            <v>Falta Consumo</v>
          </cell>
        </row>
        <row r="61">
          <cell r="A61">
            <v>39346</v>
          </cell>
          <cell r="B61" t="str">
            <v>Correctivo</v>
          </cell>
          <cell r="C61" t="str">
            <v>CIUD</v>
          </cell>
          <cell r="D61" t="str">
            <v>Liberada</v>
          </cell>
          <cell r="E61" t="str">
            <v>No</v>
          </cell>
          <cell r="F61">
            <v>46252</v>
          </cell>
          <cell r="G61" t="str">
            <v>O</v>
          </cell>
          <cell r="H61" t="str">
            <v>GDR526</v>
          </cell>
          <cell r="I61" t="str">
            <v>1620</v>
          </cell>
          <cell r="J61" t="str">
            <v>Cambiar Palanca Multi Funcion</v>
          </cell>
          <cell r="K61" t="str">
            <v>Falta Consumo</v>
          </cell>
        </row>
        <row r="62">
          <cell r="A62">
            <v>39346</v>
          </cell>
          <cell r="B62" t="str">
            <v>Correctivo</v>
          </cell>
          <cell r="C62" t="str">
            <v>CIUD</v>
          </cell>
          <cell r="D62" t="str">
            <v>Liberada</v>
          </cell>
          <cell r="E62" t="str">
            <v>No</v>
          </cell>
          <cell r="F62">
            <v>46252</v>
          </cell>
          <cell r="G62" t="str">
            <v>O</v>
          </cell>
          <cell r="H62" t="str">
            <v>GDR526</v>
          </cell>
          <cell r="I62" t="str">
            <v>1620</v>
          </cell>
          <cell r="J62" t="str">
            <v>Cambiar lamparas</v>
          </cell>
          <cell r="K62" t="str">
            <v>Falta Consumo</v>
          </cell>
        </row>
        <row r="63">
          <cell r="A63">
            <v>39346</v>
          </cell>
          <cell r="B63" t="str">
            <v>Correctivo</v>
          </cell>
          <cell r="C63" t="str">
            <v>CIUD</v>
          </cell>
          <cell r="D63" t="str">
            <v>Liberada</v>
          </cell>
          <cell r="E63" t="str">
            <v>No</v>
          </cell>
          <cell r="F63">
            <v>46252</v>
          </cell>
          <cell r="G63" t="str">
            <v>O</v>
          </cell>
          <cell r="H63" t="str">
            <v>GDR526</v>
          </cell>
          <cell r="I63" t="str">
            <v>1620</v>
          </cell>
          <cell r="J63" t="str">
            <v>Acomodar Instalcion de Alternador</v>
          </cell>
          <cell r="K63" t="str">
            <v>Falta Consumo</v>
          </cell>
        </row>
        <row r="64">
          <cell r="A64">
            <v>39346</v>
          </cell>
          <cell r="B64" t="str">
            <v>Correctivo</v>
          </cell>
          <cell r="C64" t="str">
            <v>CIUD</v>
          </cell>
          <cell r="D64" t="str">
            <v>Liberada</v>
          </cell>
          <cell r="E64" t="str">
            <v>No</v>
          </cell>
          <cell r="F64">
            <v>46252</v>
          </cell>
          <cell r="G64" t="str">
            <v>O</v>
          </cell>
          <cell r="H64" t="str">
            <v>GDR526</v>
          </cell>
          <cell r="I64" t="str">
            <v>1620</v>
          </cell>
          <cell r="J64" t="str">
            <v>Cambiar Opticas Delanteras</v>
          </cell>
          <cell r="K64" t="str">
            <v>Falta Consumo</v>
          </cell>
        </row>
        <row r="65">
          <cell r="A65">
            <v>39346</v>
          </cell>
          <cell r="B65" t="str">
            <v>Correctivo</v>
          </cell>
          <cell r="C65" t="str">
            <v>CIUD</v>
          </cell>
          <cell r="D65" t="str">
            <v>Liberada</v>
          </cell>
          <cell r="E65" t="str">
            <v>No</v>
          </cell>
          <cell r="F65">
            <v>46252</v>
          </cell>
          <cell r="G65" t="str">
            <v>O</v>
          </cell>
          <cell r="H65" t="str">
            <v>GDR526</v>
          </cell>
          <cell r="I65" t="str">
            <v>1620</v>
          </cell>
          <cell r="J65" t="str">
            <v>Cambiar Acrilico Trasero MB</v>
          </cell>
          <cell r="K65" t="str">
            <v>Falta Consumo</v>
          </cell>
        </row>
        <row r="66">
          <cell r="A66">
            <v>39346</v>
          </cell>
          <cell r="B66" t="str">
            <v>Correctivo</v>
          </cell>
          <cell r="C66" t="str">
            <v>CIUD</v>
          </cell>
          <cell r="D66" t="str">
            <v>Liberada</v>
          </cell>
          <cell r="E66" t="str">
            <v>No</v>
          </cell>
          <cell r="F66">
            <v>46252</v>
          </cell>
          <cell r="G66" t="str">
            <v>O</v>
          </cell>
          <cell r="H66" t="str">
            <v>GDR526</v>
          </cell>
          <cell r="I66" t="str">
            <v>1620</v>
          </cell>
          <cell r="J66" t="str">
            <v>Engrase tractor completo</v>
          </cell>
          <cell r="K66" t="str">
            <v>Falta Consumo</v>
          </cell>
        </row>
        <row r="67">
          <cell r="A67">
            <v>39346</v>
          </cell>
          <cell r="B67" t="str">
            <v>Correctivo</v>
          </cell>
          <cell r="C67" t="str">
            <v>CIUD</v>
          </cell>
          <cell r="D67" t="str">
            <v>Liberada</v>
          </cell>
          <cell r="E67" t="str">
            <v>No</v>
          </cell>
          <cell r="F67">
            <v>46252</v>
          </cell>
          <cell r="G67" t="str">
            <v>O</v>
          </cell>
          <cell r="H67" t="str">
            <v>GDR526</v>
          </cell>
          <cell r="I67" t="str">
            <v>1620</v>
          </cell>
          <cell r="J67" t="str">
            <v>Cambiar Porta Lampara Lateral</v>
          </cell>
          <cell r="K67" t="str">
            <v>Falta Consumo</v>
          </cell>
        </row>
        <row r="68">
          <cell r="A68">
            <v>39346</v>
          </cell>
          <cell r="B68" t="str">
            <v>Correctivo</v>
          </cell>
          <cell r="C68" t="str">
            <v>CIUD</v>
          </cell>
          <cell r="D68" t="str">
            <v>Liberada</v>
          </cell>
          <cell r="E68" t="str">
            <v>No</v>
          </cell>
          <cell r="F68">
            <v>46252</v>
          </cell>
          <cell r="G68" t="str">
            <v>O</v>
          </cell>
          <cell r="H68" t="str">
            <v>GDR526</v>
          </cell>
          <cell r="I68" t="str">
            <v>1620</v>
          </cell>
          <cell r="J68" t="str">
            <v>Agregar Aceite</v>
          </cell>
          <cell r="K68" t="str">
            <v>Falta Consumo</v>
          </cell>
        </row>
        <row r="69">
          <cell r="A69">
            <v>39348</v>
          </cell>
          <cell r="B69" t="str">
            <v>Correctivo</v>
          </cell>
          <cell r="C69" t="str">
            <v>CIUD</v>
          </cell>
          <cell r="D69" t="str">
            <v>Liberada</v>
          </cell>
          <cell r="E69" t="str">
            <v>No</v>
          </cell>
          <cell r="F69">
            <v>46252</v>
          </cell>
          <cell r="G69" t="str">
            <v>O</v>
          </cell>
          <cell r="H69" t="str">
            <v>AF642OS</v>
          </cell>
          <cell r="I69" t="str">
            <v>ATEGO 1721</v>
          </cell>
          <cell r="J69" t="str">
            <v>Engrase tractor completo</v>
          </cell>
          <cell r="K69" t="str">
            <v>Falta Consumo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8"/>
  <sheetViews>
    <sheetView tabSelected="1" topLeftCell="O40" workbookViewId="0">
      <selection activeCell="K1" sqref="K1:V1"/>
    </sheetView>
  </sheetViews>
  <sheetFormatPr baseColWidth="10" defaultColWidth="8.88671875" defaultRowHeight="14.4" x14ac:dyDescent="0.3"/>
  <cols>
    <col min="1" max="1" width="13" customWidth="1"/>
    <col min="2" max="2" width="16" customWidth="1"/>
    <col min="3" max="3" width="20" customWidth="1"/>
    <col min="4" max="4" width="15" customWidth="1"/>
    <col min="5" max="5" width="16" customWidth="1"/>
    <col min="6" max="6" width="20" customWidth="1"/>
    <col min="7" max="7" width="22" customWidth="1"/>
    <col min="8" max="8" width="16" customWidth="1"/>
    <col min="9" max="9" width="32" customWidth="1"/>
    <col min="10" max="10" width="60" customWidth="1"/>
    <col min="11" max="12" width="18" customWidth="1"/>
    <col min="13" max="13" width="15" customWidth="1"/>
    <col min="14" max="14" width="49" customWidth="1"/>
    <col min="15" max="15" width="80" customWidth="1"/>
    <col min="16" max="16" width="15" customWidth="1"/>
    <col min="17" max="17" width="23" customWidth="1"/>
    <col min="18" max="18" width="15" customWidth="1"/>
    <col min="19" max="19" width="19" customWidth="1"/>
    <col min="20" max="21" width="9.5546875" bestFit="1" customWidth="1"/>
  </cols>
  <sheetData>
    <row r="1" spans="1:22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3" t="s">
        <v>190</v>
      </c>
      <c r="L1" s="13" t="s">
        <v>191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3" t="s">
        <v>192</v>
      </c>
      <c r="U1" s="13" t="s">
        <v>193</v>
      </c>
      <c r="V1" s="14" t="s">
        <v>194</v>
      </c>
    </row>
    <row r="2" spans="1:22" x14ac:dyDescent="0.3">
      <c r="A2" s="16">
        <v>38411</v>
      </c>
      <c r="B2" s="16" t="s">
        <v>17</v>
      </c>
      <c r="C2" s="17" t="s">
        <v>42</v>
      </c>
      <c r="D2" s="16" t="s">
        <v>27</v>
      </c>
      <c r="E2" s="16" t="s">
        <v>19</v>
      </c>
      <c r="F2" s="18">
        <v>46236</v>
      </c>
      <c r="G2" s="16" t="s">
        <v>20</v>
      </c>
      <c r="H2" s="17" t="s">
        <v>43</v>
      </c>
      <c r="I2" s="17" t="s">
        <v>44</v>
      </c>
      <c r="J2" s="7" t="s">
        <v>45</v>
      </c>
      <c r="K2" s="7" t="str">
        <f>VLOOKUP(A2,[1]Auditoría!$A$2:$K$69,11,FALSE)</f>
        <v>Falta Consumo</v>
      </c>
      <c r="L2" s="7"/>
      <c r="M2" s="2" t="s">
        <v>23</v>
      </c>
      <c r="N2" s="3" t="s">
        <v>32</v>
      </c>
      <c r="O2" s="3" t="s">
        <v>46</v>
      </c>
      <c r="T2" s="15">
        <v>46254</v>
      </c>
      <c r="U2" s="15">
        <v>46248</v>
      </c>
    </row>
    <row r="3" spans="1:22" x14ac:dyDescent="0.3">
      <c r="A3" s="16">
        <v>38411</v>
      </c>
      <c r="B3" s="16" t="s">
        <v>17</v>
      </c>
      <c r="C3" s="17" t="s">
        <v>42</v>
      </c>
      <c r="D3" s="16" t="s">
        <v>27</v>
      </c>
      <c r="E3" s="16" t="s">
        <v>19</v>
      </c>
      <c r="F3" s="18">
        <v>46236</v>
      </c>
      <c r="G3" s="16" t="s">
        <v>20</v>
      </c>
      <c r="H3" s="17" t="s">
        <v>43</v>
      </c>
      <c r="I3" s="17" t="s">
        <v>44</v>
      </c>
      <c r="J3" s="7" t="s">
        <v>86</v>
      </c>
      <c r="K3" s="7" t="str">
        <f>VLOOKUP(A3,[1]Auditoría!$A$2:$K$69,11,FALSE)</f>
        <v>Falta Consumo</v>
      </c>
      <c r="L3" s="7"/>
      <c r="M3" s="5" t="s">
        <v>23</v>
      </c>
      <c r="N3" s="6" t="s">
        <v>32</v>
      </c>
      <c r="O3" s="6" t="s">
        <v>46</v>
      </c>
      <c r="T3" s="15">
        <v>46254</v>
      </c>
      <c r="U3" s="15">
        <v>46248</v>
      </c>
    </row>
    <row r="4" spans="1:22" x14ac:dyDescent="0.3">
      <c r="A4" s="16">
        <v>38411</v>
      </c>
      <c r="B4" s="16" t="s">
        <v>17</v>
      </c>
      <c r="C4" s="17" t="s">
        <v>42</v>
      </c>
      <c r="D4" s="16" t="s">
        <v>27</v>
      </c>
      <c r="E4" s="16" t="s">
        <v>19</v>
      </c>
      <c r="F4" s="18">
        <v>46236</v>
      </c>
      <c r="G4" s="16" t="s">
        <v>20</v>
      </c>
      <c r="H4" s="17" t="s">
        <v>43</v>
      </c>
      <c r="I4" s="17" t="s">
        <v>44</v>
      </c>
      <c r="J4" s="7" t="s">
        <v>116</v>
      </c>
      <c r="K4" s="7" t="str">
        <f>VLOOKUP(A4,[1]Auditoría!$A$2:$K$69,11,FALSE)</f>
        <v>Falta Consumo</v>
      </c>
      <c r="L4" s="7"/>
      <c r="M4" s="2" t="s">
        <v>23</v>
      </c>
      <c r="N4" s="3" t="s">
        <v>32</v>
      </c>
      <c r="O4" s="3" t="s">
        <v>46</v>
      </c>
      <c r="T4" s="15">
        <v>46254</v>
      </c>
      <c r="U4" s="15">
        <v>46248</v>
      </c>
    </row>
    <row r="5" spans="1:22" x14ac:dyDescent="0.3">
      <c r="A5" s="5">
        <v>38529</v>
      </c>
      <c r="B5" s="5" t="s">
        <v>17</v>
      </c>
      <c r="C5" s="6" t="s">
        <v>42</v>
      </c>
      <c r="D5" s="5" t="s">
        <v>27</v>
      </c>
      <c r="E5" s="5" t="s">
        <v>19</v>
      </c>
      <c r="F5" s="11">
        <v>46236</v>
      </c>
      <c r="G5" s="5" t="s">
        <v>20</v>
      </c>
      <c r="H5" s="6" t="s">
        <v>93</v>
      </c>
      <c r="I5" s="6" t="s">
        <v>34</v>
      </c>
      <c r="J5" s="4" t="s">
        <v>94</v>
      </c>
      <c r="K5" s="7"/>
      <c r="L5" s="4"/>
      <c r="M5" s="5" t="s">
        <v>23</v>
      </c>
      <c r="N5" s="6" t="s">
        <v>24</v>
      </c>
      <c r="O5" s="6" t="s">
        <v>25</v>
      </c>
      <c r="T5" s="15">
        <v>46254</v>
      </c>
      <c r="U5" s="15">
        <v>46254</v>
      </c>
    </row>
    <row r="6" spans="1:22" x14ac:dyDescent="0.3">
      <c r="A6" s="16">
        <v>38534</v>
      </c>
      <c r="B6" s="16" t="s">
        <v>17</v>
      </c>
      <c r="C6" s="17" t="s">
        <v>38</v>
      </c>
      <c r="D6" s="16" t="s">
        <v>27</v>
      </c>
      <c r="E6" s="16" t="s">
        <v>19</v>
      </c>
      <c r="F6" s="18">
        <v>46238</v>
      </c>
      <c r="G6" s="16" t="s">
        <v>20</v>
      </c>
      <c r="H6" s="17" t="s">
        <v>39</v>
      </c>
      <c r="I6" s="17" t="s">
        <v>40</v>
      </c>
      <c r="J6" s="4" t="s">
        <v>41</v>
      </c>
      <c r="K6" s="7" t="str">
        <f>VLOOKUP(A6,[1]Auditoría!$A$2:$K$69,11,FALSE)</f>
        <v>Falta Material</v>
      </c>
      <c r="L6" s="4"/>
      <c r="M6" s="2" t="s">
        <v>23</v>
      </c>
      <c r="N6" s="3" t="s">
        <v>24</v>
      </c>
      <c r="O6" s="3" t="s">
        <v>25</v>
      </c>
      <c r="T6" s="15">
        <v>46254</v>
      </c>
      <c r="U6" s="15">
        <v>46248</v>
      </c>
    </row>
    <row r="7" spans="1:22" x14ac:dyDescent="0.3">
      <c r="A7" s="16">
        <v>38989</v>
      </c>
      <c r="B7" s="16" t="s">
        <v>61</v>
      </c>
      <c r="C7" s="17" t="s">
        <v>38</v>
      </c>
      <c r="D7" s="16" t="s">
        <v>27</v>
      </c>
      <c r="E7" s="16" t="s">
        <v>19</v>
      </c>
      <c r="F7" s="18">
        <v>46238</v>
      </c>
      <c r="G7" s="16" t="s">
        <v>20</v>
      </c>
      <c r="H7" s="17" t="s">
        <v>112</v>
      </c>
      <c r="I7" s="17" t="s">
        <v>113</v>
      </c>
      <c r="J7" s="4" t="s">
        <v>114</v>
      </c>
      <c r="K7" s="7" t="str">
        <f>VLOOKUP(A7,[1]Auditoría!$A$2:$K$69,11,FALSE)</f>
        <v>Falta Material</v>
      </c>
      <c r="L7" s="4"/>
      <c r="M7" s="5" t="s">
        <v>23</v>
      </c>
      <c r="N7" s="6" t="s">
        <v>24</v>
      </c>
      <c r="O7" s="6" t="s">
        <v>25</v>
      </c>
      <c r="T7" s="15">
        <v>46254</v>
      </c>
      <c r="U7" s="15">
        <v>46248</v>
      </c>
    </row>
    <row r="8" spans="1:22" x14ac:dyDescent="0.3">
      <c r="A8" s="16" t="s">
        <v>154</v>
      </c>
      <c r="B8" s="16" t="s">
        <v>17</v>
      </c>
      <c r="C8" s="17" t="s">
        <v>38</v>
      </c>
      <c r="D8" s="16" t="s">
        <v>27</v>
      </c>
      <c r="E8" s="16" t="s">
        <v>19</v>
      </c>
      <c r="F8" s="18">
        <v>46239</v>
      </c>
      <c r="G8" s="16" t="s">
        <v>20</v>
      </c>
      <c r="H8" s="17" t="s">
        <v>99</v>
      </c>
      <c r="I8" s="17" t="s">
        <v>100</v>
      </c>
      <c r="J8" s="8" t="s">
        <v>149</v>
      </c>
      <c r="K8" s="7" t="str">
        <f>VLOOKUP(A8,[1]Auditoría!$A$2:$K$69,11,FALSE)</f>
        <v>Falta Tarea</v>
      </c>
      <c r="L8" s="8"/>
      <c r="M8" s="2" t="s">
        <v>147</v>
      </c>
      <c r="N8" s="3" t="s">
        <v>148</v>
      </c>
      <c r="O8" s="3" t="s">
        <v>155</v>
      </c>
      <c r="T8" s="15">
        <v>46254</v>
      </c>
      <c r="U8" s="15">
        <v>46248</v>
      </c>
    </row>
    <row r="9" spans="1:22" x14ac:dyDescent="0.3">
      <c r="A9" s="16" t="s">
        <v>154</v>
      </c>
      <c r="B9" s="16" t="s">
        <v>17</v>
      </c>
      <c r="C9" s="17" t="s">
        <v>38</v>
      </c>
      <c r="D9" s="16" t="s">
        <v>27</v>
      </c>
      <c r="E9" s="16" t="s">
        <v>19</v>
      </c>
      <c r="F9" s="18">
        <v>46239</v>
      </c>
      <c r="G9" s="16" t="s">
        <v>20</v>
      </c>
      <c r="H9" s="17" t="s">
        <v>99</v>
      </c>
      <c r="I9" s="17" t="s">
        <v>100</v>
      </c>
      <c r="J9" s="8" t="s">
        <v>149</v>
      </c>
      <c r="K9" s="7" t="str">
        <f>VLOOKUP(A9,[1]Auditoría!$A$2:$K$69,11,FALSE)</f>
        <v>Falta Tarea</v>
      </c>
      <c r="L9" s="8"/>
      <c r="M9" s="5" t="s">
        <v>147</v>
      </c>
      <c r="N9" s="6" t="s">
        <v>148</v>
      </c>
      <c r="O9" s="6" t="s">
        <v>156</v>
      </c>
      <c r="T9" s="15">
        <v>46254</v>
      </c>
      <c r="U9" s="15">
        <v>46248</v>
      </c>
    </row>
    <row r="10" spans="1:22" x14ac:dyDescent="0.3">
      <c r="A10" s="16">
        <v>38574</v>
      </c>
      <c r="B10" s="16" t="s">
        <v>59</v>
      </c>
      <c r="C10" s="17" t="s">
        <v>18</v>
      </c>
      <c r="D10" s="16" t="s">
        <v>27</v>
      </c>
      <c r="E10" s="16" t="s">
        <v>19</v>
      </c>
      <c r="F10" s="18">
        <v>46239</v>
      </c>
      <c r="G10" s="16" t="s">
        <v>20</v>
      </c>
      <c r="H10" s="17" t="s">
        <v>75</v>
      </c>
      <c r="I10" s="17" t="s">
        <v>76</v>
      </c>
      <c r="J10" s="7" t="s">
        <v>77</v>
      </c>
      <c r="K10" s="7" t="str">
        <f>VLOOKUP(A10,[1]Auditoría!$A$2:$K$69,11,FALSE)</f>
        <v>Falta Consumo</v>
      </c>
      <c r="L10" s="7"/>
      <c r="M10" s="5" t="s">
        <v>23</v>
      </c>
      <c r="N10" s="6" t="s">
        <v>32</v>
      </c>
      <c r="O10" s="6" t="s">
        <v>78</v>
      </c>
      <c r="T10" s="15">
        <v>46254</v>
      </c>
      <c r="U10" s="15">
        <v>46248</v>
      </c>
    </row>
    <row r="11" spans="1:22" x14ac:dyDescent="0.3">
      <c r="A11" s="16" t="s">
        <v>157</v>
      </c>
      <c r="B11" s="16" t="s">
        <v>17</v>
      </c>
      <c r="C11" s="17" t="s">
        <v>38</v>
      </c>
      <c r="D11" s="16" t="s">
        <v>27</v>
      </c>
      <c r="E11" s="16" t="s">
        <v>19</v>
      </c>
      <c r="F11" s="18">
        <v>46240</v>
      </c>
      <c r="G11" s="16" t="s">
        <v>20</v>
      </c>
      <c r="H11" s="17" t="s">
        <v>158</v>
      </c>
      <c r="I11" s="17" t="s">
        <v>95</v>
      </c>
      <c r="J11" s="8" t="s">
        <v>149</v>
      </c>
      <c r="K11" s="7" t="str">
        <f>VLOOKUP(A11,[1]Auditoría!$A$2:$K$69,11,FALSE)</f>
        <v>Falta Tarea</v>
      </c>
      <c r="L11" s="8"/>
      <c r="M11" s="2" t="s">
        <v>147</v>
      </c>
      <c r="N11" s="3" t="s">
        <v>148</v>
      </c>
      <c r="O11" s="3" t="s">
        <v>159</v>
      </c>
      <c r="T11" s="15">
        <v>46254</v>
      </c>
      <c r="U11" s="15">
        <v>46248</v>
      </c>
    </row>
    <row r="12" spans="1:22" x14ac:dyDescent="0.3">
      <c r="A12" s="16" t="s">
        <v>157</v>
      </c>
      <c r="B12" s="16" t="s">
        <v>17</v>
      </c>
      <c r="C12" s="17" t="s">
        <v>38</v>
      </c>
      <c r="D12" s="16" t="s">
        <v>27</v>
      </c>
      <c r="E12" s="16" t="s">
        <v>19</v>
      </c>
      <c r="F12" s="18">
        <v>46240</v>
      </c>
      <c r="G12" s="16" t="s">
        <v>20</v>
      </c>
      <c r="H12" s="17" t="s">
        <v>158</v>
      </c>
      <c r="I12" s="17" t="s">
        <v>95</v>
      </c>
      <c r="J12" s="8" t="s">
        <v>149</v>
      </c>
      <c r="K12" s="7" t="str">
        <f>VLOOKUP(A12,[1]Auditoría!$A$2:$K$69,11,FALSE)</f>
        <v>Falta Tarea</v>
      </c>
      <c r="L12" s="8"/>
      <c r="M12" s="5" t="s">
        <v>147</v>
      </c>
      <c r="N12" s="6" t="s">
        <v>148</v>
      </c>
      <c r="O12" s="6" t="s">
        <v>160</v>
      </c>
      <c r="T12" s="15">
        <v>46254</v>
      </c>
      <c r="U12" s="15">
        <v>46248</v>
      </c>
    </row>
    <row r="13" spans="1:22" x14ac:dyDescent="0.3">
      <c r="A13" s="16" t="s">
        <v>157</v>
      </c>
      <c r="B13" s="16" t="s">
        <v>17</v>
      </c>
      <c r="C13" s="17" t="s">
        <v>38</v>
      </c>
      <c r="D13" s="16" t="s">
        <v>27</v>
      </c>
      <c r="E13" s="16" t="s">
        <v>19</v>
      </c>
      <c r="F13" s="18">
        <v>46240</v>
      </c>
      <c r="G13" s="16" t="s">
        <v>20</v>
      </c>
      <c r="H13" s="17" t="s">
        <v>158</v>
      </c>
      <c r="I13" s="17" t="s">
        <v>95</v>
      </c>
      <c r="J13" s="8" t="s">
        <v>149</v>
      </c>
      <c r="K13" s="7" t="str">
        <f>VLOOKUP(A13,[1]Auditoría!$A$2:$K$69,11,FALSE)</f>
        <v>Falta Tarea</v>
      </c>
      <c r="L13" s="8"/>
      <c r="M13" s="2" t="s">
        <v>147</v>
      </c>
      <c r="N13" s="3" t="s">
        <v>148</v>
      </c>
      <c r="O13" s="3" t="s">
        <v>161</v>
      </c>
      <c r="T13" s="15">
        <v>46254</v>
      </c>
      <c r="U13" s="15">
        <v>46248</v>
      </c>
    </row>
    <row r="14" spans="1:22" x14ac:dyDescent="0.3">
      <c r="A14" s="16" t="s">
        <v>157</v>
      </c>
      <c r="B14" s="16" t="s">
        <v>17</v>
      </c>
      <c r="C14" s="17" t="s">
        <v>38</v>
      </c>
      <c r="D14" s="16" t="s">
        <v>27</v>
      </c>
      <c r="E14" s="16" t="s">
        <v>19</v>
      </c>
      <c r="F14" s="18">
        <v>46240</v>
      </c>
      <c r="G14" s="16" t="s">
        <v>20</v>
      </c>
      <c r="H14" s="17" t="s">
        <v>158</v>
      </c>
      <c r="I14" s="17" t="s">
        <v>95</v>
      </c>
      <c r="J14" s="8" t="s">
        <v>149</v>
      </c>
      <c r="K14" s="7" t="str">
        <f>VLOOKUP(A14,[1]Auditoría!$A$2:$K$69,11,FALSE)</f>
        <v>Falta Tarea</v>
      </c>
      <c r="L14" s="8"/>
      <c r="M14" s="5" t="s">
        <v>147</v>
      </c>
      <c r="N14" s="6" t="s">
        <v>148</v>
      </c>
      <c r="O14" s="6" t="s">
        <v>162</v>
      </c>
      <c r="T14" s="15">
        <v>46254</v>
      </c>
      <c r="U14" s="15">
        <v>46248</v>
      </c>
    </row>
    <row r="15" spans="1:22" x14ac:dyDescent="0.3">
      <c r="A15" s="2" t="s">
        <v>140</v>
      </c>
      <c r="B15" s="2" t="s">
        <v>17</v>
      </c>
      <c r="C15" s="3" t="s">
        <v>18</v>
      </c>
      <c r="D15" s="2" t="s">
        <v>27</v>
      </c>
      <c r="E15" s="2" t="s">
        <v>19</v>
      </c>
      <c r="F15" s="11">
        <v>46240</v>
      </c>
      <c r="G15" s="2" t="s">
        <v>20</v>
      </c>
      <c r="H15" s="3" t="s">
        <v>141</v>
      </c>
      <c r="I15" s="3" t="s">
        <v>81</v>
      </c>
      <c r="J15" s="8" t="s">
        <v>137</v>
      </c>
      <c r="K15" s="7" t="str">
        <f>VLOOKUP(A15,[1]Auditoría!$A$2:$K$69,11,FALSE)</f>
        <v>Ok Contabilizar Si Corresponde</v>
      </c>
      <c r="L15" s="8"/>
      <c r="M15" s="2" t="s">
        <v>138</v>
      </c>
      <c r="N15" s="3" t="s">
        <v>139</v>
      </c>
      <c r="O15" s="3" t="s">
        <v>142</v>
      </c>
      <c r="T15" s="15">
        <v>46254</v>
      </c>
      <c r="U15" s="15">
        <v>46248</v>
      </c>
    </row>
    <row r="16" spans="1:22" x14ac:dyDescent="0.3">
      <c r="A16" s="5" t="s">
        <v>140</v>
      </c>
      <c r="B16" s="5" t="s">
        <v>17</v>
      </c>
      <c r="C16" s="6" t="s">
        <v>18</v>
      </c>
      <c r="D16" s="5" t="s">
        <v>27</v>
      </c>
      <c r="E16" s="5" t="s">
        <v>19</v>
      </c>
      <c r="F16" s="11">
        <v>46240</v>
      </c>
      <c r="G16" s="5" t="s">
        <v>20</v>
      </c>
      <c r="H16" s="6" t="s">
        <v>141</v>
      </c>
      <c r="I16" s="6" t="s">
        <v>81</v>
      </c>
      <c r="J16" s="8" t="s">
        <v>146</v>
      </c>
      <c r="K16" s="7" t="str">
        <f>VLOOKUP(A16,[1]Auditoría!$A$2:$K$69,11,FALSE)</f>
        <v>Ok Contabilizar Si Corresponde</v>
      </c>
      <c r="L16" s="8"/>
      <c r="M16" s="5" t="s">
        <v>147</v>
      </c>
      <c r="N16" s="6" t="s">
        <v>148</v>
      </c>
      <c r="O16" s="6" t="s">
        <v>152</v>
      </c>
      <c r="T16" s="15">
        <v>46254</v>
      </c>
      <c r="U16" s="15">
        <v>46248</v>
      </c>
    </row>
    <row r="17" spans="1:21" x14ac:dyDescent="0.3">
      <c r="A17" s="2" t="s">
        <v>140</v>
      </c>
      <c r="B17" s="2" t="s">
        <v>17</v>
      </c>
      <c r="C17" s="3" t="s">
        <v>18</v>
      </c>
      <c r="D17" s="2" t="s">
        <v>27</v>
      </c>
      <c r="E17" s="2" t="s">
        <v>19</v>
      </c>
      <c r="F17" s="11">
        <v>46240</v>
      </c>
      <c r="G17" s="2" t="s">
        <v>20</v>
      </c>
      <c r="H17" s="3" t="s">
        <v>141</v>
      </c>
      <c r="I17" s="3" t="s">
        <v>81</v>
      </c>
      <c r="J17" s="8" t="s">
        <v>146</v>
      </c>
      <c r="K17" s="7" t="str">
        <f>VLOOKUP(A17,[1]Auditoría!$A$2:$K$69,11,FALSE)</f>
        <v>Ok Contabilizar Si Corresponde</v>
      </c>
      <c r="L17" s="8"/>
      <c r="M17" s="2" t="s">
        <v>147</v>
      </c>
      <c r="N17" s="3" t="s">
        <v>148</v>
      </c>
      <c r="O17" s="3" t="s">
        <v>165</v>
      </c>
      <c r="T17" s="15">
        <v>46254</v>
      </c>
      <c r="U17" s="15">
        <v>46248</v>
      </c>
    </row>
    <row r="18" spans="1:21" x14ac:dyDescent="0.3">
      <c r="A18" s="16">
        <v>38608</v>
      </c>
      <c r="B18" s="16" t="s">
        <v>17</v>
      </c>
      <c r="C18" s="17" t="s">
        <v>38</v>
      </c>
      <c r="D18" s="16" t="s">
        <v>27</v>
      </c>
      <c r="E18" s="16" t="s">
        <v>19</v>
      </c>
      <c r="F18" s="18">
        <v>46240</v>
      </c>
      <c r="G18" s="16" t="s">
        <v>20</v>
      </c>
      <c r="H18" s="17" t="s">
        <v>115</v>
      </c>
      <c r="I18" s="17" t="s">
        <v>87</v>
      </c>
      <c r="J18" s="8" t="s">
        <v>57</v>
      </c>
      <c r="K18" s="7" t="str">
        <f>VLOOKUP(A18,[1]Auditoría!$A$2:$K$69,11,FALSE)</f>
        <v>Falta Material</v>
      </c>
      <c r="L18" s="8"/>
      <c r="M18" s="2" t="s">
        <v>31</v>
      </c>
      <c r="N18" s="3" t="s">
        <v>35</v>
      </c>
      <c r="O18" s="3" t="s">
        <v>36</v>
      </c>
      <c r="T18" s="15">
        <v>46254</v>
      </c>
      <c r="U18" s="15">
        <v>46248</v>
      </c>
    </row>
    <row r="19" spans="1:21" x14ac:dyDescent="0.3">
      <c r="A19" s="5" t="s">
        <v>166</v>
      </c>
      <c r="B19" s="5" t="s">
        <v>17</v>
      </c>
      <c r="C19" s="6" t="s">
        <v>38</v>
      </c>
      <c r="D19" s="5" t="s">
        <v>27</v>
      </c>
      <c r="E19" s="5" t="s">
        <v>19</v>
      </c>
      <c r="F19" s="11">
        <v>46240</v>
      </c>
      <c r="G19" s="5" t="s">
        <v>20</v>
      </c>
      <c r="H19" s="6" t="s">
        <v>115</v>
      </c>
      <c r="I19" s="6" t="s">
        <v>87</v>
      </c>
      <c r="J19" s="8" t="s">
        <v>146</v>
      </c>
      <c r="K19" s="7" t="str">
        <f>VLOOKUP(A19,[1]Auditoría!$A$2:$K$69,11,FALSE)</f>
        <v>Ok Contabilizar Si Corresponde</v>
      </c>
      <c r="L19" s="8"/>
      <c r="M19" s="5" t="s">
        <v>147</v>
      </c>
      <c r="N19" s="6" t="s">
        <v>148</v>
      </c>
      <c r="O19" s="6" t="s">
        <v>167</v>
      </c>
      <c r="T19" s="15">
        <v>46254</v>
      </c>
      <c r="U19" s="15">
        <v>46248</v>
      </c>
    </row>
    <row r="20" spans="1:21" x14ac:dyDescent="0.3">
      <c r="A20" s="16">
        <v>38610</v>
      </c>
      <c r="B20" s="16" t="s">
        <v>17</v>
      </c>
      <c r="C20" s="17" t="s">
        <v>38</v>
      </c>
      <c r="D20" s="16" t="s">
        <v>27</v>
      </c>
      <c r="E20" s="16" t="s">
        <v>19</v>
      </c>
      <c r="F20" s="18">
        <v>46240</v>
      </c>
      <c r="G20" s="16" t="s">
        <v>20</v>
      </c>
      <c r="H20" s="17" t="s">
        <v>120</v>
      </c>
      <c r="I20" s="17" t="s">
        <v>69</v>
      </c>
      <c r="J20" s="4" t="s">
        <v>80</v>
      </c>
      <c r="K20" s="7" t="str">
        <f>VLOOKUP(A20,[1]Auditoría!$A$2:$K$69,11,FALSE)</f>
        <v>Falta Material</v>
      </c>
      <c r="L20" s="4"/>
      <c r="M20" s="2" t="s">
        <v>31</v>
      </c>
      <c r="N20" s="3" t="s">
        <v>24</v>
      </c>
      <c r="O20" s="3" t="s">
        <v>25</v>
      </c>
      <c r="T20" s="15">
        <v>46254</v>
      </c>
      <c r="U20" s="15">
        <v>46248</v>
      </c>
    </row>
    <row r="21" spans="1:21" x14ac:dyDescent="0.3">
      <c r="A21" s="16">
        <v>38610</v>
      </c>
      <c r="B21" s="16" t="s">
        <v>17</v>
      </c>
      <c r="C21" s="17" t="s">
        <v>38</v>
      </c>
      <c r="D21" s="16" t="s">
        <v>27</v>
      </c>
      <c r="E21" s="16" t="s">
        <v>19</v>
      </c>
      <c r="F21" s="18">
        <v>46240</v>
      </c>
      <c r="G21" s="16" t="s">
        <v>20</v>
      </c>
      <c r="H21" s="17" t="s">
        <v>120</v>
      </c>
      <c r="I21" s="17" t="s">
        <v>69</v>
      </c>
      <c r="J21" s="4" t="s">
        <v>57</v>
      </c>
      <c r="K21" s="7" t="str">
        <f>VLOOKUP(A21,[1]Auditoría!$A$2:$K$69,11,FALSE)</f>
        <v>Falta Material</v>
      </c>
      <c r="L21" s="4"/>
      <c r="M21" s="2" t="s">
        <v>31</v>
      </c>
      <c r="N21" s="3" t="s">
        <v>24</v>
      </c>
      <c r="O21" s="3" t="s">
        <v>25</v>
      </c>
      <c r="T21" s="15">
        <v>46254</v>
      </c>
      <c r="U21" s="15">
        <v>46248</v>
      </c>
    </row>
    <row r="22" spans="1:21" x14ac:dyDescent="0.3">
      <c r="A22" s="16">
        <v>38612</v>
      </c>
      <c r="B22" s="16" t="s">
        <v>17</v>
      </c>
      <c r="C22" s="17" t="s">
        <v>38</v>
      </c>
      <c r="D22" s="16" t="s">
        <v>27</v>
      </c>
      <c r="E22" s="16" t="s">
        <v>19</v>
      </c>
      <c r="F22" s="18">
        <v>46240</v>
      </c>
      <c r="G22" s="16" t="s">
        <v>20</v>
      </c>
      <c r="H22" s="17" t="s">
        <v>79</v>
      </c>
      <c r="I22" s="17" t="s">
        <v>69</v>
      </c>
      <c r="J22" s="4" t="s">
        <v>80</v>
      </c>
      <c r="K22" s="7" t="str">
        <f>VLOOKUP(A22,[1]Auditoría!$A$2:$K$69,11,FALSE)</f>
        <v>Falta Material</v>
      </c>
      <c r="L22" s="4"/>
      <c r="M22" s="2" t="s">
        <v>31</v>
      </c>
      <c r="N22" s="3" t="s">
        <v>24</v>
      </c>
      <c r="O22" s="3" t="s">
        <v>25</v>
      </c>
      <c r="T22" s="15">
        <v>46254</v>
      </c>
      <c r="U22" s="15">
        <v>46248</v>
      </c>
    </row>
    <row r="23" spans="1:21" x14ac:dyDescent="0.3">
      <c r="A23" s="16">
        <v>38612</v>
      </c>
      <c r="B23" s="16" t="s">
        <v>17</v>
      </c>
      <c r="C23" s="17" t="s">
        <v>38</v>
      </c>
      <c r="D23" s="16" t="s">
        <v>27</v>
      </c>
      <c r="E23" s="16" t="s">
        <v>19</v>
      </c>
      <c r="F23" s="18">
        <v>46240</v>
      </c>
      <c r="G23" s="16" t="s">
        <v>20</v>
      </c>
      <c r="H23" s="17" t="s">
        <v>79</v>
      </c>
      <c r="I23" s="17" t="s">
        <v>69</v>
      </c>
      <c r="J23" s="4" t="s">
        <v>57</v>
      </c>
      <c r="K23" s="7" t="str">
        <f>VLOOKUP(A23,[1]Auditoría!$A$2:$K$69,11,FALSE)</f>
        <v>Falta Material</v>
      </c>
      <c r="L23" s="4"/>
      <c r="M23" s="2" t="s">
        <v>31</v>
      </c>
      <c r="N23" s="3" t="s">
        <v>24</v>
      </c>
      <c r="O23" s="3" t="s">
        <v>25</v>
      </c>
      <c r="T23" s="15">
        <v>46254</v>
      </c>
      <c r="U23" s="15">
        <v>46248</v>
      </c>
    </row>
    <row r="24" spans="1:21" x14ac:dyDescent="0.3">
      <c r="A24" s="16">
        <v>38936</v>
      </c>
      <c r="B24" s="16" t="s">
        <v>17</v>
      </c>
      <c r="C24" s="17" t="s">
        <v>18</v>
      </c>
      <c r="D24" s="16" t="s">
        <v>27</v>
      </c>
      <c r="E24" s="16" t="s">
        <v>19</v>
      </c>
      <c r="F24" s="18">
        <v>46240</v>
      </c>
      <c r="G24" s="16" t="s">
        <v>20</v>
      </c>
      <c r="H24" s="17" t="s">
        <v>58</v>
      </c>
      <c r="I24" s="17" t="s">
        <v>29</v>
      </c>
      <c r="J24" s="7" t="s">
        <v>89</v>
      </c>
      <c r="K24" s="7" t="str">
        <f>VLOOKUP(A24,[1]Auditoría!$A$2:$K$69,11,FALSE)</f>
        <v>Falta Consumo</v>
      </c>
      <c r="L24" s="7"/>
      <c r="M24" s="2" t="s">
        <v>23</v>
      </c>
      <c r="N24" s="3" t="s">
        <v>32</v>
      </c>
      <c r="O24" s="3" t="s">
        <v>90</v>
      </c>
      <c r="T24" s="15">
        <v>46254</v>
      </c>
      <c r="U24" s="15">
        <v>46248</v>
      </c>
    </row>
    <row r="25" spans="1:21" x14ac:dyDescent="0.3">
      <c r="A25" s="16">
        <v>39113</v>
      </c>
      <c r="B25" s="16" t="s">
        <v>17</v>
      </c>
      <c r="C25" s="17" t="s">
        <v>18</v>
      </c>
      <c r="D25" s="16" t="s">
        <v>27</v>
      </c>
      <c r="E25" s="16" t="s">
        <v>19</v>
      </c>
      <c r="F25" s="18">
        <v>46241</v>
      </c>
      <c r="G25" s="16" t="s">
        <v>20</v>
      </c>
      <c r="H25" s="17" t="s">
        <v>28</v>
      </c>
      <c r="I25" s="17" t="s">
        <v>29</v>
      </c>
      <c r="J25" s="7" t="s">
        <v>118</v>
      </c>
      <c r="K25" s="7" t="str">
        <f>VLOOKUP(A25,[1]Auditoría!$A$2:$K$69,11,FALSE)</f>
        <v>Falta Consumo</v>
      </c>
      <c r="L25" s="7"/>
      <c r="M25" s="5" t="s">
        <v>23</v>
      </c>
      <c r="N25" s="6" t="s">
        <v>32</v>
      </c>
      <c r="O25" s="6" t="s">
        <v>119</v>
      </c>
      <c r="T25" s="15">
        <v>46254</v>
      </c>
      <c r="U25" s="15">
        <v>46248</v>
      </c>
    </row>
    <row r="26" spans="1:21" x14ac:dyDescent="0.3">
      <c r="A26" s="2" t="s">
        <v>168</v>
      </c>
      <c r="B26" s="2" t="s">
        <v>17</v>
      </c>
      <c r="C26" s="3" t="s">
        <v>42</v>
      </c>
      <c r="D26" s="2" t="s">
        <v>27</v>
      </c>
      <c r="E26" s="2" t="s">
        <v>19</v>
      </c>
      <c r="F26" s="11">
        <v>46243</v>
      </c>
      <c r="G26" s="2" t="s">
        <v>20</v>
      </c>
      <c r="H26" s="3" t="s">
        <v>169</v>
      </c>
      <c r="I26" s="3" t="s">
        <v>95</v>
      </c>
      <c r="J26" s="8" t="s">
        <v>146</v>
      </c>
      <c r="K26" s="7" t="str">
        <f>VLOOKUP(A26,[1]Auditoría!$A$2:$K$69,11,FALSE)</f>
        <v>Ok</v>
      </c>
      <c r="L26" s="8"/>
      <c r="M26" s="2" t="s">
        <v>147</v>
      </c>
      <c r="N26" s="3" t="s">
        <v>148</v>
      </c>
      <c r="O26" s="3" t="s">
        <v>170</v>
      </c>
      <c r="T26" s="15">
        <v>46254</v>
      </c>
      <c r="U26" s="15">
        <v>46248</v>
      </c>
    </row>
    <row r="27" spans="1:21" x14ac:dyDescent="0.3">
      <c r="A27" s="16">
        <v>39128</v>
      </c>
      <c r="B27" s="16" t="s">
        <v>17</v>
      </c>
      <c r="C27" s="17" t="s">
        <v>18</v>
      </c>
      <c r="D27" s="16" t="s">
        <v>27</v>
      </c>
      <c r="E27" s="16" t="s">
        <v>19</v>
      </c>
      <c r="F27" s="18">
        <v>46243</v>
      </c>
      <c r="G27" s="16" t="s">
        <v>20</v>
      </c>
      <c r="H27" s="17" t="s">
        <v>105</v>
      </c>
      <c r="I27" s="17" t="s">
        <v>52</v>
      </c>
      <c r="J27" s="7" t="s">
        <v>121</v>
      </c>
      <c r="K27" s="7" t="str">
        <f>VLOOKUP(A27,[1]Auditoría!$A$2:$K$69,11,FALSE)</f>
        <v>Falta Consumo</v>
      </c>
      <c r="L27" s="7"/>
      <c r="M27" s="2" t="s">
        <v>23</v>
      </c>
      <c r="N27" s="3" t="s">
        <v>32</v>
      </c>
      <c r="O27" s="3" t="s">
        <v>122</v>
      </c>
      <c r="T27" s="15">
        <v>46254</v>
      </c>
      <c r="U27" s="15">
        <v>46248</v>
      </c>
    </row>
    <row r="28" spans="1:21" x14ac:dyDescent="0.3">
      <c r="A28" s="16" t="s">
        <v>171</v>
      </c>
      <c r="B28" s="16" t="s">
        <v>17</v>
      </c>
      <c r="C28" s="17" t="s">
        <v>38</v>
      </c>
      <c r="D28" s="16" t="s">
        <v>27</v>
      </c>
      <c r="E28" s="16" t="s">
        <v>19</v>
      </c>
      <c r="F28" s="18">
        <v>46244</v>
      </c>
      <c r="G28" s="16" t="s">
        <v>20</v>
      </c>
      <c r="H28" s="17" t="s">
        <v>172</v>
      </c>
      <c r="I28" s="17" t="s">
        <v>100</v>
      </c>
      <c r="J28" s="8" t="s">
        <v>149</v>
      </c>
      <c r="K28" s="7" t="str">
        <f>VLOOKUP(A28,[1]Auditoría!$A$2:$K$69,11,FALSE)</f>
        <v>Falta Tarea</v>
      </c>
      <c r="L28" s="8"/>
      <c r="M28" s="5" t="s">
        <v>147</v>
      </c>
      <c r="N28" s="6" t="s">
        <v>148</v>
      </c>
      <c r="O28" s="6" t="s">
        <v>173</v>
      </c>
      <c r="T28" s="15">
        <v>46254</v>
      </c>
      <c r="U28" s="15">
        <v>46252</v>
      </c>
    </row>
    <row r="29" spans="1:21" x14ac:dyDescent="0.3">
      <c r="A29" s="16" t="s">
        <v>174</v>
      </c>
      <c r="B29" s="16" t="s">
        <v>17</v>
      </c>
      <c r="C29" s="17" t="s">
        <v>38</v>
      </c>
      <c r="D29" s="16" t="s">
        <v>27</v>
      </c>
      <c r="E29" s="16" t="s">
        <v>19</v>
      </c>
      <c r="F29" s="18">
        <v>46244</v>
      </c>
      <c r="G29" s="16" t="s">
        <v>20</v>
      </c>
      <c r="H29" s="17" t="s">
        <v>175</v>
      </c>
      <c r="I29" s="17" t="s">
        <v>60</v>
      </c>
      <c r="J29" s="8" t="s">
        <v>149</v>
      </c>
      <c r="K29" s="7" t="str">
        <f>VLOOKUP(A29,[1]Auditoría!$A$2:$K$69,11,FALSE)</f>
        <v>Falta Tarea</v>
      </c>
      <c r="L29" s="8"/>
      <c r="M29" s="2" t="s">
        <v>147</v>
      </c>
      <c r="N29" s="3" t="s">
        <v>148</v>
      </c>
      <c r="O29" s="3" t="s">
        <v>173</v>
      </c>
      <c r="T29" s="15">
        <v>46254</v>
      </c>
      <c r="U29" s="15">
        <v>46252</v>
      </c>
    </row>
    <row r="30" spans="1:21" x14ac:dyDescent="0.3">
      <c r="A30" s="5" t="s">
        <v>176</v>
      </c>
      <c r="B30" s="5" t="s">
        <v>17</v>
      </c>
      <c r="C30" s="6" t="s">
        <v>38</v>
      </c>
      <c r="D30" s="5" t="s">
        <v>27</v>
      </c>
      <c r="E30" s="5" t="s">
        <v>19</v>
      </c>
      <c r="F30" s="11">
        <v>46244</v>
      </c>
      <c r="G30" s="12"/>
      <c r="H30" s="6" t="s">
        <v>163</v>
      </c>
      <c r="I30" s="6" t="s">
        <v>164</v>
      </c>
      <c r="J30" s="8" t="s">
        <v>149</v>
      </c>
      <c r="K30" s="7" t="str">
        <f>VLOOKUP(A30,[1]Auditoría!$A$2:$K$69,11,FALSE)</f>
        <v>Ok Revisar tipo OM</v>
      </c>
      <c r="L30" s="8"/>
      <c r="M30" s="5" t="s">
        <v>147</v>
      </c>
      <c r="N30" s="6" t="s">
        <v>148</v>
      </c>
      <c r="O30" s="6" t="s">
        <v>153</v>
      </c>
      <c r="T30" s="15">
        <v>46254</v>
      </c>
      <c r="U30" s="15">
        <v>46252</v>
      </c>
    </row>
    <row r="31" spans="1:21" x14ac:dyDescent="0.3">
      <c r="A31" s="2" t="s">
        <v>176</v>
      </c>
      <c r="B31" s="2" t="s">
        <v>17</v>
      </c>
      <c r="C31" s="3" t="s">
        <v>38</v>
      </c>
      <c r="D31" s="2" t="s">
        <v>27</v>
      </c>
      <c r="E31" s="2" t="s">
        <v>19</v>
      </c>
      <c r="F31" s="11">
        <v>46244</v>
      </c>
      <c r="G31" s="12"/>
      <c r="H31" s="3" t="s">
        <v>163</v>
      </c>
      <c r="I31" s="3" t="s">
        <v>164</v>
      </c>
      <c r="J31" s="8" t="s">
        <v>149</v>
      </c>
      <c r="K31" s="7" t="str">
        <f>VLOOKUP(A31,[1]Auditoría!$A$2:$K$69,11,FALSE)</f>
        <v>Ok Revisar tipo OM</v>
      </c>
      <c r="L31" s="8"/>
      <c r="M31" s="2" t="s">
        <v>147</v>
      </c>
      <c r="N31" s="3" t="s">
        <v>148</v>
      </c>
      <c r="O31" s="3" t="s">
        <v>177</v>
      </c>
      <c r="T31" s="15">
        <v>46254</v>
      </c>
      <c r="U31" s="15">
        <v>46252</v>
      </c>
    </row>
    <row r="32" spans="1:21" x14ac:dyDescent="0.3">
      <c r="A32" s="5" t="s">
        <v>176</v>
      </c>
      <c r="B32" s="5" t="s">
        <v>17</v>
      </c>
      <c r="C32" s="6" t="s">
        <v>38</v>
      </c>
      <c r="D32" s="5" t="s">
        <v>27</v>
      </c>
      <c r="E32" s="5" t="s">
        <v>19</v>
      </c>
      <c r="F32" s="11">
        <v>46244</v>
      </c>
      <c r="G32" s="12"/>
      <c r="H32" s="6" t="s">
        <v>163</v>
      </c>
      <c r="I32" s="6" t="s">
        <v>164</v>
      </c>
      <c r="J32" s="8" t="s">
        <v>149</v>
      </c>
      <c r="K32" s="7" t="str">
        <f>VLOOKUP(A32,[1]Auditoría!$A$2:$K$69,11,FALSE)</f>
        <v>Ok Revisar tipo OM</v>
      </c>
      <c r="L32" s="8"/>
      <c r="M32" s="5" t="s">
        <v>147</v>
      </c>
      <c r="N32" s="6" t="s">
        <v>148</v>
      </c>
      <c r="O32" s="6" t="s">
        <v>151</v>
      </c>
      <c r="T32" s="15">
        <v>46254</v>
      </c>
      <c r="U32" s="15">
        <v>46252</v>
      </c>
    </row>
    <row r="33" spans="1:21" x14ac:dyDescent="0.3">
      <c r="A33" s="2" t="s">
        <v>178</v>
      </c>
      <c r="B33" s="2" t="s">
        <v>61</v>
      </c>
      <c r="C33" s="3" t="s">
        <v>42</v>
      </c>
      <c r="D33" s="2" t="s">
        <v>27</v>
      </c>
      <c r="E33" s="2" t="s">
        <v>19</v>
      </c>
      <c r="F33" s="11">
        <v>46244</v>
      </c>
      <c r="G33" s="2" t="s">
        <v>20</v>
      </c>
      <c r="H33" s="3" t="s">
        <v>179</v>
      </c>
      <c r="I33" s="3" t="s">
        <v>180</v>
      </c>
      <c r="J33" s="8" t="s">
        <v>146</v>
      </c>
      <c r="K33" s="7" t="str">
        <f>VLOOKUP(A33,[1]Auditoría!$A$2:$K$69,11,FALSE)</f>
        <v>Ok</v>
      </c>
      <c r="L33" s="8"/>
      <c r="M33" s="2" t="s">
        <v>147</v>
      </c>
      <c r="N33" s="3" t="s">
        <v>148</v>
      </c>
      <c r="O33" s="3" t="s">
        <v>181</v>
      </c>
      <c r="T33" s="15">
        <v>46254</v>
      </c>
      <c r="U33" s="15">
        <v>46248</v>
      </c>
    </row>
    <row r="34" spans="1:21" x14ac:dyDescent="0.3">
      <c r="A34" s="16" t="s">
        <v>182</v>
      </c>
      <c r="B34" s="16" t="s">
        <v>150</v>
      </c>
      <c r="C34" s="17" t="s">
        <v>42</v>
      </c>
      <c r="D34" s="16" t="s">
        <v>27</v>
      </c>
      <c r="E34" s="16" t="s">
        <v>19</v>
      </c>
      <c r="F34" s="18">
        <v>46244</v>
      </c>
      <c r="G34" s="20"/>
      <c r="H34" s="17" t="s">
        <v>183</v>
      </c>
      <c r="I34" s="17" t="s">
        <v>184</v>
      </c>
      <c r="J34" s="8" t="s">
        <v>149</v>
      </c>
      <c r="K34" s="7" t="s">
        <v>196</v>
      </c>
      <c r="L34" s="8"/>
      <c r="M34" s="5" t="s">
        <v>147</v>
      </c>
      <c r="N34" s="6" t="s">
        <v>148</v>
      </c>
      <c r="O34" s="6" t="s">
        <v>185</v>
      </c>
      <c r="T34" s="15">
        <v>46254</v>
      </c>
      <c r="U34" s="15">
        <v>46248</v>
      </c>
    </row>
    <row r="35" spans="1:21" x14ac:dyDescent="0.3">
      <c r="A35" s="16" t="s">
        <v>182</v>
      </c>
      <c r="B35" s="16" t="s">
        <v>150</v>
      </c>
      <c r="C35" s="17" t="s">
        <v>42</v>
      </c>
      <c r="D35" s="16" t="s">
        <v>27</v>
      </c>
      <c r="E35" s="16" t="s">
        <v>19</v>
      </c>
      <c r="F35" s="18">
        <v>46244</v>
      </c>
      <c r="G35" s="20"/>
      <c r="H35" s="17" t="s">
        <v>183</v>
      </c>
      <c r="I35" s="17" t="s">
        <v>184</v>
      </c>
      <c r="J35" s="8" t="s">
        <v>149</v>
      </c>
      <c r="K35" s="7" t="s">
        <v>196</v>
      </c>
      <c r="L35" s="8"/>
      <c r="M35" s="2" t="s">
        <v>147</v>
      </c>
      <c r="N35" s="3" t="s">
        <v>148</v>
      </c>
      <c r="O35" s="3" t="s">
        <v>186</v>
      </c>
      <c r="T35" s="15">
        <v>46254</v>
      </c>
      <c r="U35" s="15">
        <v>46248</v>
      </c>
    </row>
    <row r="36" spans="1:21" x14ac:dyDescent="0.3">
      <c r="A36" s="16">
        <v>39010</v>
      </c>
      <c r="B36" s="16" t="s">
        <v>17</v>
      </c>
      <c r="C36" s="17" t="s">
        <v>38</v>
      </c>
      <c r="D36" s="16" t="s">
        <v>27</v>
      </c>
      <c r="E36" s="16" t="s">
        <v>19</v>
      </c>
      <c r="F36" s="18">
        <v>46244</v>
      </c>
      <c r="G36" s="16" t="s">
        <v>20</v>
      </c>
      <c r="H36" s="17" t="s">
        <v>55</v>
      </c>
      <c r="I36" s="17" t="s">
        <v>56</v>
      </c>
      <c r="J36" s="4" t="s">
        <v>57</v>
      </c>
      <c r="K36" s="7" t="str">
        <f>VLOOKUP(A36,[1]Auditoría!$A$2:$K$69,11,FALSE)</f>
        <v>Falta Material</v>
      </c>
      <c r="L36" s="4"/>
      <c r="M36" s="5" t="s">
        <v>31</v>
      </c>
      <c r="N36" s="6" t="s">
        <v>24</v>
      </c>
      <c r="O36" s="6" t="s">
        <v>25</v>
      </c>
      <c r="T36" s="15">
        <v>46254</v>
      </c>
      <c r="U36" s="15">
        <v>46248</v>
      </c>
    </row>
    <row r="37" spans="1:21" x14ac:dyDescent="0.3">
      <c r="A37" s="16">
        <v>39151</v>
      </c>
      <c r="B37" s="16" t="s">
        <v>17</v>
      </c>
      <c r="C37" s="17" t="s">
        <v>18</v>
      </c>
      <c r="D37" s="16" t="s">
        <v>27</v>
      </c>
      <c r="E37" s="16" t="s">
        <v>19</v>
      </c>
      <c r="F37" s="18">
        <v>46244</v>
      </c>
      <c r="G37" s="16" t="s">
        <v>20</v>
      </c>
      <c r="H37" s="17" t="s">
        <v>58</v>
      </c>
      <c r="I37" s="17" t="s">
        <v>29</v>
      </c>
      <c r="J37" s="7" t="s">
        <v>84</v>
      </c>
      <c r="K37" s="7" t="str">
        <f>VLOOKUP(A37,[1]Auditoría!$A$2:$K$69,11,FALSE)</f>
        <v>Falta Consumo</v>
      </c>
      <c r="L37" s="7"/>
      <c r="M37" s="5" t="s">
        <v>23</v>
      </c>
      <c r="N37" s="6" t="s">
        <v>32</v>
      </c>
      <c r="O37" s="6" t="s">
        <v>85</v>
      </c>
      <c r="T37" s="15">
        <v>46254</v>
      </c>
      <c r="U37" s="15">
        <v>46248</v>
      </c>
    </row>
    <row r="38" spans="1:21" x14ac:dyDescent="0.3">
      <c r="A38" s="16">
        <v>39322</v>
      </c>
      <c r="B38" s="16" t="s">
        <v>17</v>
      </c>
      <c r="C38" s="17" t="s">
        <v>42</v>
      </c>
      <c r="D38" s="16" t="s">
        <v>27</v>
      </c>
      <c r="E38" s="16" t="s">
        <v>19</v>
      </c>
      <c r="F38" s="18">
        <v>46245</v>
      </c>
      <c r="G38" s="16" t="s">
        <v>20</v>
      </c>
      <c r="H38" s="17" t="s">
        <v>62</v>
      </c>
      <c r="I38" s="17" t="s">
        <v>63</v>
      </c>
      <c r="J38" s="7" t="s">
        <v>64</v>
      </c>
      <c r="K38" s="7" t="str">
        <f>VLOOKUP(A38,[1]Auditoría!$A$2:$K$69,11,FALSE)</f>
        <v>Falta Consumo</v>
      </c>
      <c r="L38" s="7"/>
      <c r="M38" s="2" t="s">
        <v>31</v>
      </c>
      <c r="N38" s="3" t="s">
        <v>32</v>
      </c>
      <c r="O38" s="3" t="s">
        <v>65</v>
      </c>
      <c r="T38" s="15">
        <v>46254</v>
      </c>
      <c r="U38" s="15">
        <v>46253</v>
      </c>
    </row>
    <row r="39" spans="1:21" x14ac:dyDescent="0.3">
      <c r="A39" s="16">
        <v>39322</v>
      </c>
      <c r="B39" s="16" t="s">
        <v>17</v>
      </c>
      <c r="C39" s="17" t="s">
        <v>42</v>
      </c>
      <c r="D39" s="16" t="s">
        <v>27</v>
      </c>
      <c r="E39" s="16" t="s">
        <v>19</v>
      </c>
      <c r="F39" s="18">
        <v>46245</v>
      </c>
      <c r="G39" s="16" t="s">
        <v>20</v>
      </c>
      <c r="H39" s="17" t="s">
        <v>62</v>
      </c>
      <c r="I39" s="17" t="s">
        <v>63</v>
      </c>
      <c r="J39" s="7" t="s">
        <v>117</v>
      </c>
      <c r="K39" s="7" t="str">
        <f>VLOOKUP(A39,[1]Auditoría!$A$2:$K$69,11,FALSE)</f>
        <v>Falta Consumo</v>
      </c>
      <c r="L39" s="7"/>
      <c r="M39" s="5" t="s">
        <v>31</v>
      </c>
      <c r="N39" s="6" t="s">
        <v>32</v>
      </c>
      <c r="O39" s="6" t="s">
        <v>65</v>
      </c>
      <c r="T39" s="15">
        <v>46254</v>
      </c>
      <c r="U39" s="15">
        <v>46253</v>
      </c>
    </row>
    <row r="40" spans="1:21" x14ac:dyDescent="0.3">
      <c r="A40" s="16">
        <v>39322</v>
      </c>
      <c r="B40" s="16" t="s">
        <v>17</v>
      </c>
      <c r="C40" s="17" t="s">
        <v>42</v>
      </c>
      <c r="D40" s="16" t="s">
        <v>27</v>
      </c>
      <c r="E40" s="16" t="s">
        <v>19</v>
      </c>
      <c r="F40" s="18">
        <v>46245</v>
      </c>
      <c r="G40" s="16" t="s">
        <v>20</v>
      </c>
      <c r="H40" s="17" t="s">
        <v>62</v>
      </c>
      <c r="I40" s="17" t="s">
        <v>63</v>
      </c>
      <c r="J40" s="7" t="s">
        <v>123</v>
      </c>
      <c r="K40" s="7" t="str">
        <f>VLOOKUP(A40,[1]Auditoría!$A$2:$K$69,11,FALSE)</f>
        <v>Falta Consumo</v>
      </c>
      <c r="L40" s="7"/>
      <c r="M40" s="5" t="s">
        <v>31</v>
      </c>
      <c r="N40" s="6" t="s">
        <v>32</v>
      </c>
      <c r="O40" s="6" t="s">
        <v>65</v>
      </c>
      <c r="T40" s="15">
        <v>46254</v>
      </c>
      <c r="U40" s="15">
        <v>46253</v>
      </c>
    </row>
    <row r="41" spans="1:21" x14ac:dyDescent="0.3">
      <c r="A41" s="2">
        <v>39373</v>
      </c>
      <c r="B41" s="2" t="s">
        <v>17</v>
      </c>
      <c r="C41" s="3" t="s">
        <v>18</v>
      </c>
      <c r="D41" s="2" t="s">
        <v>27</v>
      </c>
      <c r="E41" s="2" t="s">
        <v>19</v>
      </c>
      <c r="F41" s="11">
        <v>46245</v>
      </c>
      <c r="G41" s="2" t="s">
        <v>20</v>
      </c>
      <c r="H41" s="3" t="s">
        <v>111</v>
      </c>
      <c r="I41" s="3" t="s">
        <v>95</v>
      </c>
      <c r="J41" s="7" t="s">
        <v>30</v>
      </c>
      <c r="K41" s="7" t="s">
        <v>195</v>
      </c>
      <c r="L41" s="7"/>
      <c r="M41" s="2" t="s">
        <v>31</v>
      </c>
      <c r="N41" s="3" t="s">
        <v>32</v>
      </c>
      <c r="O41" s="3" t="s">
        <v>33</v>
      </c>
      <c r="T41" s="15">
        <v>46254</v>
      </c>
      <c r="U41" s="15">
        <v>46254</v>
      </c>
    </row>
    <row r="42" spans="1:21" x14ac:dyDescent="0.3">
      <c r="A42" s="5">
        <v>39374</v>
      </c>
      <c r="B42" s="5" t="s">
        <v>17</v>
      </c>
      <c r="C42" s="6" t="s">
        <v>18</v>
      </c>
      <c r="D42" s="5" t="s">
        <v>27</v>
      </c>
      <c r="E42" s="5" t="s">
        <v>19</v>
      </c>
      <c r="F42" s="11">
        <v>46245</v>
      </c>
      <c r="G42" s="5" t="s">
        <v>20</v>
      </c>
      <c r="H42" s="6" t="s">
        <v>134</v>
      </c>
      <c r="I42" s="6" t="s">
        <v>54</v>
      </c>
      <c r="J42" s="7" t="s">
        <v>135</v>
      </c>
      <c r="K42" s="7" t="s">
        <v>195</v>
      </c>
      <c r="L42" s="7"/>
      <c r="M42" s="5" t="s">
        <v>31</v>
      </c>
      <c r="N42" s="6" t="s">
        <v>32</v>
      </c>
      <c r="O42" s="6" t="s">
        <v>136</v>
      </c>
      <c r="T42" s="15">
        <v>46254</v>
      </c>
      <c r="U42" s="15">
        <v>46254</v>
      </c>
    </row>
    <row r="43" spans="1:21" x14ac:dyDescent="0.3">
      <c r="A43" s="5">
        <v>39375</v>
      </c>
      <c r="B43" s="5" t="s">
        <v>17</v>
      </c>
      <c r="C43" s="6" t="s">
        <v>18</v>
      </c>
      <c r="D43" s="5" t="s">
        <v>27</v>
      </c>
      <c r="E43" s="5" t="s">
        <v>19</v>
      </c>
      <c r="F43" s="11">
        <v>46245</v>
      </c>
      <c r="G43" s="5" t="s">
        <v>20</v>
      </c>
      <c r="H43" s="6" t="s">
        <v>124</v>
      </c>
      <c r="I43" s="6" t="s">
        <v>37</v>
      </c>
      <c r="J43" s="7" t="s">
        <v>67</v>
      </c>
      <c r="K43" s="7" t="s">
        <v>195</v>
      </c>
      <c r="L43" s="7"/>
      <c r="M43" s="5" t="s">
        <v>31</v>
      </c>
      <c r="N43" s="6" t="s">
        <v>32</v>
      </c>
      <c r="O43" s="6" t="s">
        <v>125</v>
      </c>
      <c r="T43" s="15">
        <v>46254</v>
      </c>
      <c r="U43" s="15">
        <v>46254</v>
      </c>
    </row>
    <row r="44" spans="1:21" x14ac:dyDescent="0.3">
      <c r="A44" s="5">
        <v>39376</v>
      </c>
      <c r="B44" s="5" t="s">
        <v>17</v>
      </c>
      <c r="C44" s="6" t="s">
        <v>18</v>
      </c>
      <c r="D44" s="5" t="s">
        <v>27</v>
      </c>
      <c r="E44" s="5" t="s">
        <v>19</v>
      </c>
      <c r="F44" s="11">
        <v>46245</v>
      </c>
      <c r="G44" s="5" t="s">
        <v>20</v>
      </c>
      <c r="H44" s="6" t="s">
        <v>106</v>
      </c>
      <c r="I44" s="6" t="s">
        <v>107</v>
      </c>
      <c r="J44" s="4" t="s">
        <v>49</v>
      </c>
      <c r="K44" s="7"/>
      <c r="L44" s="4"/>
      <c r="M44" s="5" t="s">
        <v>31</v>
      </c>
      <c r="N44" s="6" t="s">
        <v>24</v>
      </c>
      <c r="O44" s="6" t="s">
        <v>25</v>
      </c>
      <c r="T44" s="15">
        <v>46254</v>
      </c>
      <c r="U44" s="15">
        <v>46254</v>
      </c>
    </row>
    <row r="45" spans="1:21" x14ac:dyDescent="0.3">
      <c r="A45" s="5">
        <v>39377</v>
      </c>
      <c r="B45" s="5" t="s">
        <v>17</v>
      </c>
      <c r="C45" s="6" t="s">
        <v>18</v>
      </c>
      <c r="D45" s="5" t="s">
        <v>27</v>
      </c>
      <c r="E45" s="5" t="s">
        <v>19</v>
      </c>
      <c r="F45" s="11">
        <v>46245</v>
      </c>
      <c r="G45" s="5" t="s">
        <v>20</v>
      </c>
      <c r="H45" s="6" t="s">
        <v>127</v>
      </c>
      <c r="I45" s="6" t="s">
        <v>37</v>
      </c>
      <c r="J45" s="7" t="s">
        <v>128</v>
      </c>
      <c r="K45" s="7" t="s">
        <v>195</v>
      </c>
      <c r="L45" s="7"/>
      <c r="M45" s="5" t="s">
        <v>31</v>
      </c>
      <c r="N45" s="6" t="s">
        <v>32</v>
      </c>
      <c r="O45" s="6" t="s">
        <v>129</v>
      </c>
      <c r="T45" s="15">
        <v>46254</v>
      </c>
      <c r="U45" s="15">
        <v>46254</v>
      </c>
    </row>
    <row r="46" spans="1:21" x14ac:dyDescent="0.3">
      <c r="A46" s="2">
        <v>39408</v>
      </c>
      <c r="B46" s="2" t="s">
        <v>17</v>
      </c>
      <c r="C46" s="3" t="s">
        <v>18</v>
      </c>
      <c r="D46" s="2" t="s">
        <v>27</v>
      </c>
      <c r="E46" s="2" t="s">
        <v>19</v>
      </c>
      <c r="F46" s="11">
        <v>46245</v>
      </c>
      <c r="G46" s="2" t="s">
        <v>20</v>
      </c>
      <c r="H46" s="3" t="s">
        <v>96</v>
      </c>
      <c r="I46" s="3" t="s">
        <v>52</v>
      </c>
      <c r="J46" s="7" t="s">
        <v>97</v>
      </c>
      <c r="K46" s="7" t="s">
        <v>195</v>
      </c>
      <c r="L46" s="7"/>
      <c r="M46" s="2" t="s">
        <v>31</v>
      </c>
      <c r="N46" s="3" t="s">
        <v>32</v>
      </c>
      <c r="O46" s="3" t="s">
        <v>98</v>
      </c>
      <c r="T46" s="15">
        <v>46254</v>
      </c>
      <c r="U46" s="15">
        <v>46254</v>
      </c>
    </row>
    <row r="47" spans="1:21" x14ac:dyDescent="0.3">
      <c r="A47" s="2">
        <v>39454</v>
      </c>
      <c r="B47" s="2" t="s">
        <v>17</v>
      </c>
      <c r="C47" s="3" t="s">
        <v>18</v>
      </c>
      <c r="D47" s="2" t="s">
        <v>27</v>
      </c>
      <c r="E47" s="2" t="s">
        <v>19</v>
      </c>
      <c r="F47" s="11">
        <v>46245</v>
      </c>
      <c r="G47" s="2" t="s">
        <v>20</v>
      </c>
      <c r="H47" s="3" t="s">
        <v>91</v>
      </c>
      <c r="I47" s="3" t="s">
        <v>37</v>
      </c>
      <c r="J47" s="7" t="s">
        <v>64</v>
      </c>
      <c r="K47" s="7" t="s">
        <v>195</v>
      </c>
      <c r="L47" s="7"/>
      <c r="M47" s="2" t="s">
        <v>31</v>
      </c>
      <c r="N47" s="3" t="s">
        <v>32</v>
      </c>
      <c r="O47" s="3" t="s">
        <v>130</v>
      </c>
      <c r="T47" s="15">
        <v>46254</v>
      </c>
      <c r="U47" s="15">
        <v>46254</v>
      </c>
    </row>
    <row r="48" spans="1:21" x14ac:dyDescent="0.3">
      <c r="A48" s="16">
        <v>39323</v>
      </c>
      <c r="B48" s="16" t="s">
        <v>17</v>
      </c>
      <c r="C48" s="17" t="s">
        <v>42</v>
      </c>
      <c r="D48" s="16" t="s">
        <v>27</v>
      </c>
      <c r="E48" s="16" t="s">
        <v>19</v>
      </c>
      <c r="F48" s="18">
        <v>46246</v>
      </c>
      <c r="G48" s="16" t="s">
        <v>20</v>
      </c>
      <c r="H48" s="17" t="s">
        <v>99</v>
      </c>
      <c r="I48" s="17" t="s">
        <v>100</v>
      </c>
      <c r="J48" s="7" t="s">
        <v>101</v>
      </c>
      <c r="K48" s="7" t="str">
        <f>VLOOKUP(A48,[1]Auditoría!$A$2:$K$69,11,FALSE)</f>
        <v>Falta Consumo</v>
      </c>
      <c r="L48" s="7"/>
      <c r="M48" s="5" t="s">
        <v>31</v>
      </c>
      <c r="N48" s="6" t="s">
        <v>32</v>
      </c>
      <c r="O48" s="6" t="s">
        <v>102</v>
      </c>
      <c r="T48" s="15">
        <v>46254</v>
      </c>
      <c r="U48" s="15">
        <v>46253</v>
      </c>
    </row>
    <row r="49" spans="1:21" x14ac:dyDescent="0.3">
      <c r="A49" s="16">
        <v>39324</v>
      </c>
      <c r="B49" s="16" t="s">
        <v>17</v>
      </c>
      <c r="C49" s="17" t="s">
        <v>42</v>
      </c>
      <c r="D49" s="16" t="s">
        <v>27</v>
      </c>
      <c r="E49" s="16" t="s">
        <v>19</v>
      </c>
      <c r="F49" s="18">
        <v>46246</v>
      </c>
      <c r="G49" s="16" t="s">
        <v>20</v>
      </c>
      <c r="H49" s="17" t="s">
        <v>70</v>
      </c>
      <c r="I49" s="17" t="s">
        <v>71</v>
      </c>
      <c r="J49" s="7" t="s">
        <v>72</v>
      </c>
      <c r="K49" s="7" t="str">
        <f>VLOOKUP(A49,[1]Auditoría!$A$2:$K$69,11,FALSE)</f>
        <v>Falta Consumo</v>
      </c>
      <c r="L49" s="7"/>
      <c r="M49" s="2" t="s">
        <v>31</v>
      </c>
      <c r="N49" s="3" t="s">
        <v>32</v>
      </c>
      <c r="O49" s="3" t="s">
        <v>73</v>
      </c>
      <c r="T49" s="15">
        <v>46254</v>
      </c>
      <c r="U49" s="15">
        <v>46253</v>
      </c>
    </row>
    <row r="50" spans="1:21" x14ac:dyDescent="0.3">
      <c r="A50" s="16">
        <v>39324</v>
      </c>
      <c r="B50" s="16" t="s">
        <v>17</v>
      </c>
      <c r="C50" s="17" t="s">
        <v>42</v>
      </c>
      <c r="D50" s="16" t="s">
        <v>27</v>
      </c>
      <c r="E50" s="16" t="s">
        <v>19</v>
      </c>
      <c r="F50" s="18">
        <v>46246</v>
      </c>
      <c r="G50" s="16" t="s">
        <v>20</v>
      </c>
      <c r="H50" s="17" t="s">
        <v>70</v>
      </c>
      <c r="I50" s="17" t="s">
        <v>71</v>
      </c>
      <c r="J50" s="7" t="s">
        <v>88</v>
      </c>
      <c r="K50" s="7" t="str">
        <f>VLOOKUP(A50,[1]Auditoría!$A$2:$K$69,11,FALSE)</f>
        <v>Falta Consumo</v>
      </c>
      <c r="L50" s="7"/>
      <c r="M50" s="5" t="s">
        <v>31</v>
      </c>
      <c r="N50" s="6" t="s">
        <v>32</v>
      </c>
      <c r="O50" s="6" t="s">
        <v>73</v>
      </c>
      <c r="T50" s="15">
        <v>46254</v>
      </c>
      <c r="U50" s="15">
        <v>46253</v>
      </c>
    </row>
    <row r="51" spans="1:21" x14ac:dyDescent="0.3">
      <c r="A51" s="16">
        <v>39324</v>
      </c>
      <c r="B51" s="16" t="s">
        <v>17</v>
      </c>
      <c r="C51" s="17" t="s">
        <v>42</v>
      </c>
      <c r="D51" s="16" t="s">
        <v>27</v>
      </c>
      <c r="E51" s="16" t="s">
        <v>19</v>
      </c>
      <c r="F51" s="18">
        <v>46246</v>
      </c>
      <c r="G51" s="16" t="s">
        <v>20</v>
      </c>
      <c r="H51" s="17" t="s">
        <v>70</v>
      </c>
      <c r="I51" s="17" t="s">
        <v>71</v>
      </c>
      <c r="J51" s="7" t="s">
        <v>126</v>
      </c>
      <c r="K51" s="7" t="str">
        <f>VLOOKUP(A51,[1]Auditoría!$A$2:$K$69,11,FALSE)</f>
        <v>Falta Consumo</v>
      </c>
      <c r="L51" s="7"/>
      <c r="M51" s="5" t="s">
        <v>31</v>
      </c>
      <c r="N51" s="6" t="s">
        <v>32</v>
      </c>
      <c r="O51" s="6" t="s">
        <v>73</v>
      </c>
      <c r="T51" s="15">
        <v>46254</v>
      </c>
      <c r="U51" s="15">
        <v>46253</v>
      </c>
    </row>
    <row r="52" spans="1:21" x14ac:dyDescent="0.3">
      <c r="A52" s="16">
        <v>39325</v>
      </c>
      <c r="B52" s="16" t="s">
        <v>17</v>
      </c>
      <c r="C52" s="17" t="s">
        <v>42</v>
      </c>
      <c r="D52" s="16" t="s">
        <v>27</v>
      </c>
      <c r="E52" s="16" t="s">
        <v>19</v>
      </c>
      <c r="F52" s="18">
        <v>46246</v>
      </c>
      <c r="G52" s="16" t="s">
        <v>20</v>
      </c>
      <c r="H52" s="17" t="s">
        <v>108</v>
      </c>
      <c r="I52" s="17" t="s">
        <v>34</v>
      </c>
      <c r="J52" s="7" t="s">
        <v>109</v>
      </c>
      <c r="K52" s="7" t="str">
        <f>VLOOKUP(A52,[1]Auditoría!$A$2:$K$69,11,FALSE)</f>
        <v>Falta Consumo</v>
      </c>
      <c r="L52" s="7"/>
      <c r="M52" s="5" t="s">
        <v>31</v>
      </c>
      <c r="N52" s="6" t="s">
        <v>32</v>
      </c>
      <c r="O52" s="6" t="s">
        <v>110</v>
      </c>
      <c r="T52" s="15">
        <v>46254</v>
      </c>
      <c r="U52" s="15">
        <v>46253</v>
      </c>
    </row>
    <row r="53" spans="1:21" x14ac:dyDescent="0.3">
      <c r="A53" s="16">
        <v>39326</v>
      </c>
      <c r="B53" s="16" t="s">
        <v>17</v>
      </c>
      <c r="C53" s="17" t="s">
        <v>42</v>
      </c>
      <c r="D53" s="16" t="s">
        <v>27</v>
      </c>
      <c r="E53" s="16" t="s">
        <v>19</v>
      </c>
      <c r="F53" s="18">
        <v>46246</v>
      </c>
      <c r="G53" s="16" t="s">
        <v>20</v>
      </c>
      <c r="H53" s="17" t="s">
        <v>131</v>
      </c>
      <c r="I53" s="17" t="s">
        <v>34</v>
      </c>
      <c r="J53" s="7" t="s">
        <v>132</v>
      </c>
      <c r="K53" s="7" t="str">
        <f>VLOOKUP(A53,[1]Auditoría!$A$2:$K$69,11,FALSE)</f>
        <v>Falta Consumo</v>
      </c>
      <c r="L53" s="7"/>
      <c r="M53" s="5" t="s">
        <v>31</v>
      </c>
      <c r="N53" s="6" t="s">
        <v>32</v>
      </c>
      <c r="O53" s="6" t="s">
        <v>133</v>
      </c>
      <c r="T53" s="15">
        <v>46254</v>
      </c>
      <c r="U53" s="15">
        <v>46253</v>
      </c>
    </row>
    <row r="54" spans="1:21" x14ac:dyDescent="0.3">
      <c r="A54" s="16">
        <v>39327</v>
      </c>
      <c r="B54" s="16" t="s">
        <v>17</v>
      </c>
      <c r="C54" s="17" t="s">
        <v>42</v>
      </c>
      <c r="D54" s="16" t="s">
        <v>27</v>
      </c>
      <c r="E54" s="16" t="s">
        <v>19</v>
      </c>
      <c r="F54" s="18">
        <v>46246</v>
      </c>
      <c r="G54" s="16" t="s">
        <v>20</v>
      </c>
      <c r="H54" s="17" t="s">
        <v>66</v>
      </c>
      <c r="I54" s="17" t="s">
        <v>34</v>
      </c>
      <c r="J54" s="7" t="s">
        <v>67</v>
      </c>
      <c r="K54" s="7" t="str">
        <f>VLOOKUP(A54,[1]Auditoría!$A$2:$K$69,11,FALSE)</f>
        <v>Falta Consumo</v>
      </c>
      <c r="L54" s="7"/>
      <c r="M54" s="5" t="s">
        <v>31</v>
      </c>
      <c r="N54" s="6" t="s">
        <v>32</v>
      </c>
      <c r="O54" s="6" t="s">
        <v>68</v>
      </c>
      <c r="T54" s="15">
        <v>46254</v>
      </c>
      <c r="U54" s="15">
        <v>46253</v>
      </c>
    </row>
    <row r="55" spans="1:21" x14ac:dyDescent="0.3">
      <c r="A55" s="2">
        <v>39398</v>
      </c>
      <c r="B55" s="2" t="s">
        <v>17</v>
      </c>
      <c r="C55" s="3" t="s">
        <v>18</v>
      </c>
      <c r="D55" s="2" t="s">
        <v>27</v>
      </c>
      <c r="E55" s="2" t="s">
        <v>19</v>
      </c>
      <c r="F55" s="11">
        <v>46246</v>
      </c>
      <c r="G55" s="9" t="s">
        <v>20</v>
      </c>
      <c r="H55" s="3" t="s">
        <v>28</v>
      </c>
      <c r="I55" s="3" t="s">
        <v>29</v>
      </c>
      <c r="J55" s="7" t="s">
        <v>30</v>
      </c>
      <c r="K55" s="7" t="s">
        <v>195</v>
      </c>
      <c r="L55" s="7"/>
      <c r="M55" s="2" t="s">
        <v>31</v>
      </c>
      <c r="N55" s="3" t="s">
        <v>32</v>
      </c>
      <c r="O55" s="3" t="s">
        <v>33</v>
      </c>
      <c r="T55" s="15">
        <v>46254</v>
      </c>
      <c r="U55" s="15">
        <v>46254</v>
      </c>
    </row>
    <row r="56" spans="1:21" x14ac:dyDescent="0.3">
      <c r="A56" s="5">
        <v>39400</v>
      </c>
      <c r="B56" s="5" t="s">
        <v>17</v>
      </c>
      <c r="C56" s="6" t="s">
        <v>18</v>
      </c>
      <c r="D56" s="5" t="s">
        <v>27</v>
      </c>
      <c r="E56" s="5" t="s">
        <v>19</v>
      </c>
      <c r="F56" s="11">
        <v>46246</v>
      </c>
      <c r="G56" s="5" t="s">
        <v>20</v>
      </c>
      <c r="H56" s="6" t="s">
        <v>47</v>
      </c>
      <c r="I56" s="6" t="s">
        <v>48</v>
      </c>
      <c r="J56" s="4" t="s">
        <v>49</v>
      </c>
      <c r="K56" s="7"/>
      <c r="L56" s="4"/>
      <c r="M56" s="5" t="s">
        <v>31</v>
      </c>
      <c r="N56" s="6" t="s">
        <v>24</v>
      </c>
      <c r="O56" s="6" t="s">
        <v>25</v>
      </c>
      <c r="T56" s="15">
        <v>46254</v>
      </c>
      <c r="U56" s="15">
        <v>46254</v>
      </c>
    </row>
    <row r="57" spans="1:21" x14ac:dyDescent="0.3">
      <c r="A57" s="16" t="s">
        <v>187</v>
      </c>
      <c r="B57" s="16" t="s">
        <v>17</v>
      </c>
      <c r="C57" s="17" t="s">
        <v>18</v>
      </c>
      <c r="D57" s="16" t="s">
        <v>27</v>
      </c>
      <c r="E57" s="16" t="s">
        <v>19</v>
      </c>
      <c r="F57" s="18">
        <v>46247</v>
      </c>
      <c r="G57" s="16" t="s">
        <v>20</v>
      </c>
      <c r="H57" s="17" t="s">
        <v>188</v>
      </c>
      <c r="I57" s="17" t="s">
        <v>37</v>
      </c>
      <c r="J57" s="8" t="s">
        <v>146</v>
      </c>
      <c r="K57" s="7"/>
      <c r="L57" s="8"/>
      <c r="M57" s="5" t="s">
        <v>147</v>
      </c>
      <c r="N57" s="6" t="s">
        <v>148</v>
      </c>
      <c r="O57" s="6" t="s">
        <v>189</v>
      </c>
      <c r="T57" s="15">
        <v>46254</v>
      </c>
      <c r="U57" s="15">
        <v>46254</v>
      </c>
    </row>
    <row r="58" spans="1:21" x14ac:dyDescent="0.3">
      <c r="A58" s="16" t="s">
        <v>143</v>
      </c>
      <c r="B58" s="16" t="s">
        <v>17</v>
      </c>
      <c r="C58" s="17" t="s">
        <v>18</v>
      </c>
      <c r="D58" s="16" t="s">
        <v>27</v>
      </c>
      <c r="E58" s="16" t="s">
        <v>19</v>
      </c>
      <c r="F58" s="18">
        <v>46247</v>
      </c>
      <c r="G58" s="16" t="s">
        <v>20</v>
      </c>
      <c r="H58" s="17" t="s">
        <v>144</v>
      </c>
      <c r="I58" s="17" t="s">
        <v>37</v>
      </c>
      <c r="J58" s="8" t="s">
        <v>137</v>
      </c>
      <c r="K58" s="7" t="str">
        <f>VLOOKUP(A58,[1]Auditoría!$A$2:$K$69,11,FALSE)</f>
        <v>Materiales Repetidos</v>
      </c>
      <c r="L58" s="8"/>
      <c r="M58" s="5" t="s">
        <v>138</v>
      </c>
      <c r="N58" s="6" t="s">
        <v>139</v>
      </c>
      <c r="O58" s="6" t="s">
        <v>145</v>
      </c>
      <c r="T58" s="15">
        <v>46254</v>
      </c>
      <c r="U58" s="15">
        <v>46252</v>
      </c>
    </row>
    <row r="59" spans="1:21" x14ac:dyDescent="0.3">
      <c r="A59" s="16">
        <v>39334</v>
      </c>
      <c r="B59" s="16" t="s">
        <v>17</v>
      </c>
      <c r="C59" s="17" t="s">
        <v>18</v>
      </c>
      <c r="D59" s="16" t="s">
        <v>27</v>
      </c>
      <c r="E59" s="16" t="s">
        <v>19</v>
      </c>
      <c r="F59" s="18">
        <v>46251</v>
      </c>
      <c r="G59" s="19" t="s">
        <v>20</v>
      </c>
      <c r="H59" s="17" t="s">
        <v>103</v>
      </c>
      <c r="I59" s="17" t="s">
        <v>52</v>
      </c>
      <c r="J59" s="7" t="s">
        <v>22</v>
      </c>
      <c r="K59" s="7" t="s">
        <v>195</v>
      </c>
      <c r="L59" s="7"/>
      <c r="M59" s="2" t="s">
        <v>23</v>
      </c>
      <c r="N59" s="3" t="s">
        <v>32</v>
      </c>
      <c r="O59" s="3" t="s">
        <v>51</v>
      </c>
      <c r="T59" s="15">
        <v>46254</v>
      </c>
      <c r="U59" s="15">
        <v>46253</v>
      </c>
    </row>
    <row r="60" spans="1:21" x14ac:dyDescent="0.3">
      <c r="A60" s="16">
        <v>39341</v>
      </c>
      <c r="B60" s="16" t="s">
        <v>17</v>
      </c>
      <c r="C60" s="17" t="s">
        <v>18</v>
      </c>
      <c r="D60" s="16" t="s">
        <v>27</v>
      </c>
      <c r="E60" s="16" t="s">
        <v>19</v>
      </c>
      <c r="F60" s="18">
        <v>46251</v>
      </c>
      <c r="G60" s="19" t="s">
        <v>20</v>
      </c>
      <c r="H60" s="17" t="s">
        <v>26</v>
      </c>
      <c r="I60" s="17" t="s">
        <v>21</v>
      </c>
      <c r="J60" s="7" t="s">
        <v>50</v>
      </c>
      <c r="K60" s="7" t="str">
        <f>VLOOKUP(A60,[1]Auditoría!$A$2:$K$69,11,FALSE)</f>
        <v>Falta Consumo</v>
      </c>
      <c r="L60" s="7"/>
      <c r="M60" s="2" t="s">
        <v>23</v>
      </c>
      <c r="N60" s="3" t="s">
        <v>32</v>
      </c>
      <c r="O60" s="3" t="s">
        <v>51</v>
      </c>
      <c r="T60" s="15">
        <v>46254</v>
      </c>
      <c r="U60" s="15">
        <v>46253</v>
      </c>
    </row>
    <row r="61" spans="1:21" x14ac:dyDescent="0.3">
      <c r="A61" s="16">
        <v>39341</v>
      </c>
      <c r="B61" s="16" t="s">
        <v>17</v>
      </c>
      <c r="C61" s="17" t="s">
        <v>18</v>
      </c>
      <c r="D61" s="16" t="s">
        <v>27</v>
      </c>
      <c r="E61" s="16" t="s">
        <v>19</v>
      </c>
      <c r="F61" s="18">
        <v>46251</v>
      </c>
      <c r="G61" s="16" t="s">
        <v>20</v>
      </c>
      <c r="H61" s="17" t="s">
        <v>26</v>
      </c>
      <c r="I61" s="17" t="s">
        <v>21</v>
      </c>
      <c r="J61" s="7" t="s">
        <v>49</v>
      </c>
      <c r="K61" s="7" t="str">
        <f>VLOOKUP(A61,[1]Auditoría!$A$2:$K$69,11,FALSE)</f>
        <v>Falta Consumo</v>
      </c>
      <c r="L61" s="7"/>
      <c r="M61" s="5" t="s">
        <v>23</v>
      </c>
      <c r="N61" s="6" t="s">
        <v>32</v>
      </c>
      <c r="O61" s="6" t="s">
        <v>51</v>
      </c>
      <c r="T61" s="15">
        <v>46254</v>
      </c>
      <c r="U61" s="15">
        <v>46253</v>
      </c>
    </row>
    <row r="62" spans="1:21" x14ac:dyDescent="0.3">
      <c r="A62" s="16">
        <v>39341</v>
      </c>
      <c r="B62" s="16" t="s">
        <v>17</v>
      </c>
      <c r="C62" s="17" t="s">
        <v>18</v>
      </c>
      <c r="D62" s="16" t="s">
        <v>27</v>
      </c>
      <c r="E62" s="16" t="s">
        <v>19</v>
      </c>
      <c r="F62" s="18">
        <v>46251</v>
      </c>
      <c r="G62" s="19" t="s">
        <v>20</v>
      </c>
      <c r="H62" s="17" t="s">
        <v>26</v>
      </c>
      <c r="I62" s="17" t="s">
        <v>21</v>
      </c>
      <c r="J62" s="7" t="s">
        <v>22</v>
      </c>
      <c r="K62" s="7" t="str">
        <f>VLOOKUP(A62,[1]Auditoría!$A$2:$K$69,11,FALSE)</f>
        <v>Falta Consumo</v>
      </c>
      <c r="L62" s="7"/>
      <c r="M62" s="5" t="s">
        <v>23</v>
      </c>
      <c r="N62" s="6" t="s">
        <v>32</v>
      </c>
      <c r="O62" s="6" t="s">
        <v>51</v>
      </c>
      <c r="T62" s="15">
        <v>46254</v>
      </c>
      <c r="U62" s="15">
        <v>46253</v>
      </c>
    </row>
    <row r="63" spans="1:21" x14ac:dyDescent="0.3">
      <c r="A63" s="16">
        <v>39341</v>
      </c>
      <c r="B63" s="16" t="s">
        <v>17</v>
      </c>
      <c r="C63" s="17" t="s">
        <v>18</v>
      </c>
      <c r="D63" s="16" t="s">
        <v>27</v>
      </c>
      <c r="E63" s="16" t="s">
        <v>19</v>
      </c>
      <c r="F63" s="18">
        <v>46251</v>
      </c>
      <c r="G63" s="19" t="s">
        <v>20</v>
      </c>
      <c r="H63" s="17" t="s">
        <v>26</v>
      </c>
      <c r="I63" s="17" t="s">
        <v>21</v>
      </c>
      <c r="J63" s="7" t="s">
        <v>82</v>
      </c>
      <c r="K63" s="7" t="str">
        <f>VLOOKUP(A63,[1]Auditoría!$A$2:$K$69,11,FALSE)</f>
        <v>Falta Consumo</v>
      </c>
      <c r="L63" s="7"/>
      <c r="M63" s="2" t="s">
        <v>23</v>
      </c>
      <c r="N63" s="3" t="s">
        <v>32</v>
      </c>
      <c r="O63" s="3" t="s">
        <v>51</v>
      </c>
      <c r="T63" s="15">
        <v>46254</v>
      </c>
      <c r="U63" s="15">
        <v>46253</v>
      </c>
    </row>
    <row r="64" spans="1:21" x14ac:dyDescent="0.3">
      <c r="A64" s="16">
        <v>39343</v>
      </c>
      <c r="B64" s="16" t="s">
        <v>17</v>
      </c>
      <c r="C64" s="17" t="s">
        <v>18</v>
      </c>
      <c r="D64" s="16" t="s">
        <v>27</v>
      </c>
      <c r="E64" s="16" t="s">
        <v>19</v>
      </c>
      <c r="F64" s="18">
        <v>46251</v>
      </c>
      <c r="G64" s="16" t="s">
        <v>20</v>
      </c>
      <c r="H64" s="17" t="s">
        <v>104</v>
      </c>
      <c r="I64" s="17" t="s">
        <v>34</v>
      </c>
      <c r="J64" s="7" t="s">
        <v>22</v>
      </c>
      <c r="K64" s="7" t="str">
        <f>VLOOKUP(A64,[1]Auditoría!$A$2:$K$69,11,FALSE)</f>
        <v>Falta Consumo</v>
      </c>
      <c r="L64" s="7"/>
      <c r="M64" s="5" t="s">
        <v>23</v>
      </c>
      <c r="N64" s="6" t="s">
        <v>32</v>
      </c>
      <c r="O64" s="6" t="s">
        <v>51</v>
      </c>
      <c r="T64" s="15">
        <v>46254</v>
      </c>
      <c r="U64" s="15">
        <v>46253</v>
      </c>
    </row>
    <row r="65" spans="1:21" x14ac:dyDescent="0.3">
      <c r="A65" s="16">
        <v>39348</v>
      </c>
      <c r="B65" s="16" t="s">
        <v>17</v>
      </c>
      <c r="C65" s="17" t="s">
        <v>18</v>
      </c>
      <c r="D65" s="16" t="s">
        <v>27</v>
      </c>
      <c r="E65" s="16" t="s">
        <v>19</v>
      </c>
      <c r="F65" s="18">
        <v>46251</v>
      </c>
      <c r="G65" s="16" t="s">
        <v>20</v>
      </c>
      <c r="H65" s="17" t="s">
        <v>74</v>
      </c>
      <c r="I65" s="17" t="s">
        <v>21</v>
      </c>
      <c r="J65" s="7" t="s">
        <v>22</v>
      </c>
      <c r="K65" s="7" t="str">
        <f>VLOOKUP(A65,[1]Auditoría!$A$2:$K$69,11,FALSE)</f>
        <v>Falta Consumo</v>
      </c>
      <c r="L65" s="7"/>
      <c r="M65" s="5" t="s">
        <v>31</v>
      </c>
      <c r="N65" s="6" t="s">
        <v>32</v>
      </c>
      <c r="O65" s="6" t="s">
        <v>51</v>
      </c>
      <c r="T65" s="15">
        <v>46254</v>
      </c>
      <c r="U65" s="15">
        <v>46253</v>
      </c>
    </row>
    <row r="66" spans="1:21" x14ac:dyDescent="0.3">
      <c r="A66" s="5">
        <v>39513</v>
      </c>
      <c r="B66" s="5" t="s">
        <v>17</v>
      </c>
      <c r="C66" s="6" t="s">
        <v>18</v>
      </c>
      <c r="D66" s="5" t="s">
        <v>27</v>
      </c>
      <c r="E66" s="5" t="s">
        <v>19</v>
      </c>
      <c r="F66" s="11">
        <v>46252</v>
      </c>
      <c r="G66" s="5" t="s">
        <v>20</v>
      </c>
      <c r="H66" s="6" t="s">
        <v>92</v>
      </c>
      <c r="I66" s="6" t="s">
        <v>37</v>
      </c>
      <c r="J66" s="7" t="s">
        <v>22</v>
      </c>
      <c r="K66" s="7" t="s">
        <v>195</v>
      </c>
      <c r="L66" s="7"/>
      <c r="M66" s="5" t="s">
        <v>31</v>
      </c>
      <c r="N66" s="6" t="s">
        <v>32</v>
      </c>
      <c r="O66" s="6" t="s">
        <v>51</v>
      </c>
      <c r="T66" s="15">
        <v>46254</v>
      </c>
      <c r="U66" s="15">
        <v>46254</v>
      </c>
    </row>
    <row r="67" spans="1:21" x14ac:dyDescent="0.3">
      <c r="A67" s="5">
        <v>39515</v>
      </c>
      <c r="B67" s="5" t="s">
        <v>17</v>
      </c>
      <c r="C67" s="6" t="s">
        <v>18</v>
      </c>
      <c r="D67" s="5" t="s">
        <v>27</v>
      </c>
      <c r="E67" s="5" t="s">
        <v>19</v>
      </c>
      <c r="F67" s="11">
        <v>46252</v>
      </c>
      <c r="G67" s="5" t="s">
        <v>20</v>
      </c>
      <c r="H67" s="6" t="s">
        <v>53</v>
      </c>
      <c r="I67" s="6" t="s">
        <v>21</v>
      </c>
      <c r="J67" s="7" t="s">
        <v>22</v>
      </c>
      <c r="K67" s="7" t="s">
        <v>195</v>
      </c>
      <c r="L67" s="7"/>
      <c r="M67" s="5" t="s">
        <v>31</v>
      </c>
      <c r="N67" s="6" t="s">
        <v>32</v>
      </c>
      <c r="O67" s="6" t="s">
        <v>51</v>
      </c>
      <c r="T67" s="15">
        <v>46254</v>
      </c>
      <c r="U67" s="15">
        <v>46254</v>
      </c>
    </row>
    <row r="68" spans="1:21" x14ac:dyDescent="0.3">
      <c r="A68" s="5">
        <v>39519</v>
      </c>
      <c r="B68" s="5" t="s">
        <v>17</v>
      </c>
      <c r="C68" s="6" t="s">
        <v>18</v>
      </c>
      <c r="D68" s="5" t="s">
        <v>27</v>
      </c>
      <c r="E68" s="5" t="s">
        <v>19</v>
      </c>
      <c r="F68" s="11">
        <v>46252</v>
      </c>
      <c r="G68" s="10" t="s">
        <v>20</v>
      </c>
      <c r="H68" s="6" t="s">
        <v>83</v>
      </c>
      <c r="I68" s="6" t="s">
        <v>21</v>
      </c>
      <c r="J68" s="7" t="s">
        <v>22</v>
      </c>
      <c r="K68" s="7" t="s">
        <v>195</v>
      </c>
      <c r="L68" s="7"/>
      <c r="M68" s="5" t="s">
        <v>31</v>
      </c>
      <c r="N68" s="6" t="s">
        <v>32</v>
      </c>
      <c r="O68" s="6" t="s">
        <v>51</v>
      </c>
      <c r="T68" s="15">
        <v>46254</v>
      </c>
      <c r="U68" s="15">
        <v>46254</v>
      </c>
    </row>
  </sheetData>
  <autoFilter ref="A1:V68"/>
  <sortState ref="A2:Q76">
    <sortCondition ref="F2:F76"/>
    <sortCondition ref="A2:A76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Auditoría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2026-08-20T14:26:05Z</dcterms:created>
  <dcterms:modified xsi:type="dcterms:W3CDTF">2026-08-21T15:52:59Z</dcterms:modified>
  <cp:category/>
</cp:coreProperties>
</file>