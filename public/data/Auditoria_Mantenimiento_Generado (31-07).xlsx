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3040" windowHeight="9072"/>
  </bookViews>
  <sheets>
    <sheet name="Auditoría" sheetId="1" r:id="rId1"/>
  </sheets>
  <externalReferences>
    <externalReference r:id="rId2"/>
  </externalReferences>
  <definedNames>
    <definedName name="_xlnm._FilterDatabase" localSheetId="0" hidden="1">Auditoría!$A$1:$P$352</definedName>
  </definedNames>
  <calcPr calcId="162913"/>
</workbook>
</file>

<file path=xl/calcChain.xml><?xml version="1.0" encoding="utf-8"?>
<calcChain xmlns="http://schemas.openxmlformats.org/spreadsheetml/2006/main">
  <c r="J45" i="1" l="1"/>
  <c r="J44" i="1"/>
  <c r="J43" i="1"/>
  <c r="J33" i="1"/>
  <c r="J65" i="1"/>
  <c r="J8" i="1"/>
  <c r="J88" i="1"/>
  <c r="J87" i="1"/>
  <c r="J86" i="1"/>
  <c r="J79" i="1"/>
  <c r="J78" i="1"/>
  <c r="J72" i="1"/>
  <c r="J39" i="1"/>
  <c r="J35" i="1"/>
  <c r="J127" i="1"/>
  <c r="J96" i="1"/>
  <c r="J114" i="1"/>
  <c r="J204" i="1"/>
  <c r="J113" i="1"/>
  <c r="J58" i="1"/>
  <c r="J54" i="1"/>
  <c r="J32" i="1"/>
  <c r="J31" i="1"/>
  <c r="J148" i="1"/>
  <c r="J147" i="1"/>
  <c r="J29" i="1"/>
  <c r="J27" i="1"/>
  <c r="J26" i="1"/>
  <c r="J4" i="1"/>
  <c r="J70" i="1"/>
  <c r="J69" i="1"/>
  <c r="J64" i="1"/>
  <c r="J92" i="1"/>
  <c r="J91" i="1"/>
  <c r="J81" i="1"/>
  <c r="J80" i="1"/>
  <c r="J40" i="1"/>
  <c r="J38" i="1"/>
  <c r="J37" i="1"/>
  <c r="J172" i="1"/>
  <c r="J101" i="1"/>
  <c r="J176" i="1"/>
  <c r="J121" i="1"/>
  <c r="J164" i="1"/>
  <c r="J203" i="1"/>
  <c r="J59" i="1"/>
  <c r="J55" i="1"/>
  <c r="J49" i="1"/>
  <c r="J48" i="1"/>
  <c r="J42" i="1"/>
  <c r="J7" i="1"/>
  <c r="J15" i="1"/>
  <c r="J12" i="1"/>
  <c r="J11" i="1"/>
  <c r="J76" i="1"/>
  <c r="J18" i="1"/>
  <c r="J175" i="1"/>
  <c r="J126" i="1"/>
  <c r="J99" i="1"/>
  <c r="J120" i="1"/>
  <c r="J119" i="1"/>
  <c r="J138" i="1"/>
  <c r="J221" i="1"/>
  <c r="J202" i="1"/>
  <c r="J66" i="1"/>
  <c r="J61" i="1"/>
  <c r="J47" i="1"/>
  <c r="J146" i="1"/>
  <c r="J63" i="1"/>
  <c r="J5" i="1"/>
  <c r="J90" i="1"/>
  <c r="J89" i="1"/>
  <c r="J85" i="1"/>
  <c r="J82" i="1"/>
  <c r="J34" i="1"/>
  <c r="J165" i="1"/>
  <c r="J125" i="1"/>
  <c r="J124" i="1"/>
  <c r="J123" i="1"/>
  <c r="J93" i="1"/>
  <c r="J155" i="1"/>
  <c r="J154" i="1"/>
  <c r="J201" i="1"/>
  <c r="J21" i="1"/>
  <c r="J145" i="1"/>
  <c r="J22" i="1"/>
  <c r="J28" i="1"/>
  <c r="J171" i="1"/>
  <c r="J102" i="1"/>
  <c r="J95" i="1"/>
  <c r="J94" i="1"/>
  <c r="J112" i="1"/>
  <c r="J122" i="1"/>
  <c r="J152" i="1"/>
  <c r="J220" i="1"/>
  <c r="J198" i="1"/>
  <c r="J197" i="1"/>
  <c r="J111" i="1"/>
  <c r="J60" i="1"/>
  <c r="J57" i="1"/>
  <c r="J53" i="1"/>
  <c r="J51" i="1"/>
  <c r="J46" i="1"/>
  <c r="J30" i="1"/>
  <c r="J144" i="1"/>
  <c r="J17" i="1"/>
  <c r="J16" i="1"/>
  <c r="J68" i="1"/>
  <c r="J3" i="1"/>
  <c r="J84" i="1"/>
  <c r="J83" i="1"/>
  <c r="J77" i="1"/>
  <c r="J13" i="1"/>
  <c r="J10" i="1"/>
  <c r="J75" i="1"/>
  <c r="J71" i="1"/>
  <c r="J36" i="1"/>
  <c r="J110" i="1"/>
  <c r="J118" i="1"/>
  <c r="J67" i="1"/>
  <c r="J74" i="1"/>
  <c r="J73" i="1"/>
  <c r="J62" i="1"/>
  <c r="J56" i="1"/>
  <c r="J52" i="1"/>
  <c r="J50" i="1"/>
  <c r="J9" i="1"/>
  <c r="J24" i="1"/>
  <c r="J23" i="1"/>
  <c r="J14" i="1"/>
  <c r="J6" i="1"/>
  <c r="J41" i="1"/>
  <c r="J20" i="1"/>
  <c r="J19" i="1"/>
  <c r="J170" i="1"/>
  <c r="J97" i="1"/>
  <c r="J100" i="1"/>
</calcChain>
</file>

<file path=xl/sharedStrings.xml><?xml version="1.0" encoding="utf-8"?>
<sst xmlns="http://schemas.openxmlformats.org/spreadsheetml/2006/main" count="3807" uniqueCount="675">
  <si>
    <t>Nro. Orden</t>
  </si>
  <si>
    <t>Tipo de orden</t>
  </si>
  <si>
    <t>Centros de costos</t>
  </si>
  <si>
    <t>Contabilizada</t>
  </si>
  <si>
    <t>Fecha de la orden</t>
  </si>
  <si>
    <t>Status de documento</t>
  </si>
  <si>
    <t>Equipo</t>
  </si>
  <si>
    <t>Nombre Equipo</t>
  </si>
  <si>
    <t>Tarea</t>
  </si>
  <si>
    <t>Estado Tarea</t>
  </si>
  <si>
    <t>Tipo de Hallazgo</t>
  </si>
  <si>
    <t>Detalle</t>
  </si>
  <si>
    <t>Correctivo</t>
  </si>
  <si>
    <t>CIUD</t>
  </si>
  <si>
    <t>No</t>
  </si>
  <si>
    <t>O</t>
  </si>
  <si>
    <t>TECTOR EVO 170E28</t>
  </si>
  <si>
    <t>Terminada</t>
  </si>
  <si>
    <t>Preventivo</t>
  </si>
  <si>
    <t>SRAF</t>
  </si>
  <si>
    <t>KUF609</t>
  </si>
  <si>
    <t>AXOR 1933</t>
  </si>
  <si>
    <t>Cambio De Aceite De Caja</t>
  </si>
  <si>
    <t>No iniciada</t>
  </si>
  <si>
    <t>2) Desconexión de material (Falta 'ACEITE')</t>
  </si>
  <si>
    <t>Materiales cargados no coinciden: HIPOIDAL 80W90 T 205 LT - TAMBOR DE CAJA Y DIFERENCIAL</t>
  </si>
  <si>
    <t>AG095MR</t>
  </si>
  <si>
    <t>ATEGO 1721</t>
  </si>
  <si>
    <t>Cambiar lampara h7 24v</t>
  </si>
  <si>
    <t>3) Planificado sin Salida física (Salidas = 0)</t>
  </si>
  <si>
    <t>Materiales planificados con Salida Cero: BULON 10x60 PASO 1,5 (DUREZA 8,8), ARANDELA PLANA 3/8, LAMPARA H7 24V - HELLA, TUERCA HEXAGONAL M9 PASO 1 - ACERO - ZINCADO/GALVANIZADO, ARANDELA BISELADA 10MM</t>
  </si>
  <si>
    <t>JXZ992</t>
  </si>
  <si>
    <t>ATEGO 1418</t>
  </si>
  <si>
    <t>Cambio Rodamiento Puente Cardan</t>
  </si>
  <si>
    <t>Materiales planificados con Salida Cero: BULON HEXAGONAL 1/4" X40 MM X UN, TUERCA HEXAGONAL DE 1/4" PASO 1.25 DUREZA 8.8 MATERIAL ACERO ZINCADO, RETEN DE VOLANTE DE MOTOR MB AXOR 1933 (115x140x12) (A 025 997 50 47) - SABO (05155), RODAMIENTO DE PUNTA DE DIRECTA G-60/G-85/G-10 (A 906 981 16 25) - SKF 6205, RODAMIENTO PUENTE CARDAN 45MM - TIMKEN (HB88509), KIT DE EMBRAGUE MB 1418/1720/1624 (395MM) ORIGINAL (ART. REPARADO), CUBIERTA TACO 295 R22.5 - FATE</t>
  </si>
  <si>
    <t>AD426HV</t>
  </si>
  <si>
    <t>AXOR 2541</t>
  </si>
  <si>
    <t>Cambiar Llanta</t>
  </si>
  <si>
    <t>Materiales planificados con Salida Cero: CAÑO DE LLENADO DE ACEITE DE MOTOR MB 2541 (A 940 528 07 09) - RESERPLASTIC, CUBIERTA LINEAL 295 R22.5 - FATE, LLANTA 8.25 X 22.5 - 10 AGUJEROS, ACEITE 15W40 XV300 X 205LT (TAMBOR), GRASA 62 X 20 KG</t>
  </si>
  <si>
    <t>MNZA</t>
  </si>
  <si>
    <t>AG269WH</t>
  </si>
  <si>
    <t>ATEGO 1729</t>
  </si>
  <si>
    <t>Cambio De Aceite De Motor Y Filtro Aceite</t>
  </si>
  <si>
    <t>2) Desconexión de material (Falta 'LEVANTAVENTANAS')</t>
  </si>
  <si>
    <t>OFZ590</t>
  </si>
  <si>
    <t>32-CORT. LAT. 3 EJES-1</t>
  </si>
  <si>
    <t>Cambiar Faro Patente</t>
  </si>
  <si>
    <t>Materiales planificados con Salida Cero: FARO DE PATENTE MB 1318/1418/1720/2118 - BAIML (603), LAMPARA 24V 5W (S/CULOTE) - NEOLUX, LAMPARA 24V 5W (S/CULOTE) - NEOLUX</t>
  </si>
  <si>
    <t>BSAS</t>
  </si>
  <si>
    <t>Colocar Grafica TDU</t>
  </si>
  <si>
    <t>1) Orden sin repuestos asignados</t>
  </si>
  <si>
    <t>Ningún material cargado en la orden</t>
  </si>
  <si>
    <t>Cambiar Acrilico Trasero MB</t>
  </si>
  <si>
    <t>2) Desconexión de material (Falta 'ACRILICO')</t>
  </si>
  <si>
    <t>OJG072</t>
  </si>
  <si>
    <t>2) Desconexión de material (Falta 'LUZ')</t>
  </si>
  <si>
    <t>AF338VO</t>
  </si>
  <si>
    <t>ATEGO 1419</t>
  </si>
  <si>
    <t>Colocar patente</t>
  </si>
  <si>
    <t>2) Desconexión de material (Falta 'PATENTE')</t>
  </si>
  <si>
    <t>OHH592</t>
  </si>
  <si>
    <t>ATRON 1720</t>
  </si>
  <si>
    <t>GRE072</t>
  </si>
  <si>
    <t>1624</t>
  </si>
  <si>
    <t>Cambiar Baterias</t>
  </si>
  <si>
    <t>LFK338</t>
  </si>
  <si>
    <t>AXOR 2035</t>
  </si>
  <si>
    <t>Colocar Compresor De Motor</t>
  </si>
  <si>
    <t>Materiales cargados no coinciden: ARANDELA DE ALUMINIO 16MM, LIQUIDO REFRIGERANTE KRIOX INORGANICO X 1000LTS, ESTRIBO DER MB 2035 (A 958 660 28 01) ORIGINAL, REMACHE POP ALUMINIO DE 5MM DIAMETRO X 20MM LARGO, CUBIERTA TACO 295 R22.5 - FATE, JUNTA DE BLOCK DE COMPRESOR 85MM MB 2035 (A 457 131 01 80) -WABCO, SENSOR DE VALVULA 6 VIAS (PRESION DE CIRCUITO DE CAJA) MB 2035 (A 979 542 03 18) - KNORR (K040307-60, CAÑO DE REFRIGERACION BLOCK AL COMPRESOR MB 2541/2036 (A 457 200 50 52) - RIGIFLEX, COMPRESOR DE AIRE (TAPA CORTA) MB 1933 (A 906 130 12 15) ORIGINAL, SENSOR DE PASILLO DE CAJA MB AXOR 2035 (A 000 542 91 18) ORIGINAL, ARANDELA DE ALUMINIO 16MM, ARANDELA DE ALUMINIO 26MM</t>
  </si>
  <si>
    <t>OFV178</t>
  </si>
  <si>
    <t>Cambio Tacos de Goma Traseros Ambos Lados</t>
  </si>
  <si>
    <t>2) Desconexión de material (Falta 'TACO DE GOMA', 'TACO')</t>
  </si>
  <si>
    <t>Materiales cargados no coinciden: ELECTROVÁLVULA DE EJE NEUMATICO 24V de V 5/2 – 1/4 - EDC, FICHA HEMBRA TRAILER 7 PINES 12/24V (PINES) - DNI (8313), TORNILLO HEXAGONAL MECHA POR CAJA 14x22 MM, MEMBRANA LIQUIDA BLANCA POLIURETANICA x 20LTS - VENIER, BULON HEXAGONAL 6X15MM X UN, TORNILLO HEXAGONAL MECHA POR CAJA 14x22 MM, TORNILLO PUNTA DE MECHA (3/8 -14X1") X UN</t>
  </si>
  <si>
    <t>OMQ198</t>
  </si>
  <si>
    <t>ATEGO 1725</t>
  </si>
  <si>
    <t>Cambiar lámpara de Posición Lateral</t>
  </si>
  <si>
    <t>Materiales planificados con Salida Cero: LAMPARA 24V 5W (C/CULOTE) - NEOLUX</t>
  </si>
  <si>
    <t>IDX165</t>
  </si>
  <si>
    <t>Cambiar Portalampara de Giro Izq</t>
  </si>
  <si>
    <t>2) Desconexión de material (Falta 'PORTALAMPARA')</t>
  </si>
  <si>
    <t>Materiales cargados no coinciden: MANGUERA DE AGUA MB AXOR 1933 (A 693 501 03 82/A 958 500 00 75) ORIGINAL, ABRAZADERA PERFECTO (14MM) 25-35MM x UN, ABRAZADERA (9MM) 8-16MM x UN, FILTRO DE AIRE APU - MANN TB1374/13X, REPARACION DE VALVULA DISTRIBUIDORA (ART. REPARADO), ABRAZADERA PERFECTO (12MM) 16-27MM x UN</t>
  </si>
  <si>
    <t>Cambiar lampra 21/5w 24v</t>
  </si>
  <si>
    <t>2) Desconexión de material (Falta 'LAMPARA')</t>
  </si>
  <si>
    <t>OJG065</t>
  </si>
  <si>
    <t>Cambiar maquina levanta cristal izquierdo</t>
  </si>
  <si>
    <t>Materiales planificados con Salida Cero: MAQUINA ALZA CRISTALES IZQ MB 1318/1624/1620/1720 (A 688 720 75 46) - RGL (56611I)</t>
  </si>
  <si>
    <t>Materiales cargados no coinciden: FILTRO DE ACEITE 6 CILINDROS MB 1725/1726/1933/1624L/1721 OF ELECTRONICO - MANN HU 945/2x, ACEITE 15W40 XV300 X 205LT (TAMBOR)</t>
  </si>
  <si>
    <t>KNE956</t>
  </si>
  <si>
    <t>JEB636</t>
  </si>
  <si>
    <t>Cambiar Gobernadora</t>
  </si>
  <si>
    <t>KBV620</t>
  </si>
  <si>
    <t>1318</t>
  </si>
  <si>
    <t>Cambio Tecla De Luz</t>
  </si>
  <si>
    <t>Materiales planificados con Salida Cero: TECLA DE LUZ 8 PATAS C/REOSTATO MB 1620 (A 695 545 88 14) - KOSTAL (3040100)</t>
  </si>
  <si>
    <t>OJG061</t>
  </si>
  <si>
    <t>Cambio Fuelle De Palanca De Cambios</t>
  </si>
  <si>
    <t>OHH591</t>
  </si>
  <si>
    <t>Cambiar Lámpara Posición</t>
  </si>
  <si>
    <t>Materiales planificados con Salida Cero: LAMPARA P21 24V 5W - NEOLUX</t>
  </si>
  <si>
    <t>GTE288</t>
  </si>
  <si>
    <t>Cambio Fusible</t>
  </si>
  <si>
    <t>Materiales planificados con Salida Cero: CAJA REGULADORA TRASERA 28 ESTRIAS UNIVERSAL (Art. Reparado)., FUSIBLE 15 AMP - GENROD, DESTELLADOR 24V 4T, BALDE GRASA LUBRIGON X 20 KG</t>
  </si>
  <si>
    <t>NIE154</t>
  </si>
  <si>
    <t>2) Desconexión de material (Falta 'FUSIBLE')</t>
  </si>
  <si>
    <t>Cambiar Faro De Giro Delantero Der</t>
  </si>
  <si>
    <t>OJG063</t>
  </si>
  <si>
    <t>AD367QF</t>
  </si>
  <si>
    <t>S.A.P.3E.71</t>
  </si>
  <si>
    <t>Cambiar Cinta Frenos 2Eje Lado Izq</t>
  </si>
  <si>
    <t>2) Desconexión de material (Falta 'CABLE DE FRENOS', 'FLEXIBLE DE FRENO')</t>
  </si>
  <si>
    <t>AD426HT</t>
  </si>
  <si>
    <t>2) Desconexión de material (Falta 'DEPOSITO')</t>
  </si>
  <si>
    <t>FTHDCFW3</t>
  </si>
  <si>
    <t>2) Desconexión de material (Falta 'VEJIGA')</t>
  </si>
  <si>
    <t>Cambio Lampara de Posicion</t>
  </si>
  <si>
    <t>Materiales planificados con Salida Cero: LAMPARA 24V 5W (S/CULOTE) - NEOLUX</t>
  </si>
  <si>
    <t>AF639HB</t>
  </si>
  <si>
    <t>Cambiar Luz De Carroceria</t>
  </si>
  <si>
    <t>2) Desconexión de material (Falta 'LUZ', 'CARROCERIA')</t>
  </si>
  <si>
    <t>Materiales cargados no coinciden: CABLE TIPO TALLER DE 2 X 1,5 MM, PRECINTOS GRETEL 400X4,8MM X 100 UNI, TORNILLO AUTOPERFORANTE 8X1 1/4 (PUNTA MECHA) X UN, FUSIBLE 10 AMP - GENROD, FARO LED 48W - 15 X 4 X 5 CM - INFINITY TECH, CINTA AISLADORA NEGRA 19MMx20Mx0.15MM 3M 165 TEMFLEX, FARO LED BAIML 1035 COLOR ROJO, LLAVE 1 PUNTO T/M. BENZ, BALDE GRASA LUBRIGON X 20 KG, ARANDELAS PLANAS DE 6MM</t>
  </si>
  <si>
    <t>Cambiar Faro De Giro Delantero Izq</t>
  </si>
  <si>
    <t>Cambiar Lona</t>
  </si>
  <si>
    <t>2) Desconexión de material (Falta 'LONA')</t>
  </si>
  <si>
    <t>Materiales cargados no coinciden: TACO DE PARAGOLPE 190x80x70 PARA REMOLQUES - NUGOM</t>
  </si>
  <si>
    <t>Cambiar Taco De Carroceria</t>
  </si>
  <si>
    <t>2) Desconexión de material (Falta 'CARROCERIA')</t>
  </si>
  <si>
    <t>AE243WV</t>
  </si>
  <si>
    <t>ATEGO 2426</t>
  </si>
  <si>
    <t>Cambiar Maquina levanta Cristal Der</t>
  </si>
  <si>
    <t>Auxilios</t>
  </si>
  <si>
    <t>HQM968</t>
  </si>
  <si>
    <t>AF642OT</t>
  </si>
  <si>
    <t>Materiales cargados no coinciden: FILTRO DE ACEITE 6 CILINDROS MB 1318/1218/1215/914/712/1418/915/815 - MANN HU931/5X, ACEITE 15W40 XV300 X 205LT (TAMBOR)</t>
  </si>
  <si>
    <t>AF114FZ</t>
  </si>
  <si>
    <t>OHH586</t>
  </si>
  <si>
    <t>Cambio Mica</t>
  </si>
  <si>
    <t>Materiales planificados con Salida Cero: MICA BAIML 1035 COLOR ROJO (LED)</t>
  </si>
  <si>
    <t>AF066NT</t>
  </si>
  <si>
    <t>Cambiar lampara h1 24v</t>
  </si>
  <si>
    <t>Materiales planificados con Salida Cero: LAMPARA 24V 5W (S/CULOTE), LAMPARA H7 24V</t>
  </si>
  <si>
    <t>GLT552</t>
  </si>
  <si>
    <t>SPRINTER 316 CDI FURGON 3665</t>
  </si>
  <si>
    <t>Cambiar Tacos De Goma C/Tornillo</t>
  </si>
  <si>
    <t>AF737MQ</t>
  </si>
  <si>
    <t>Cambio Vidrio Espejo</t>
  </si>
  <si>
    <t>Materiales planificados con Salida Cero: BARRA TENSORA "V" MB AXOR 1933/2541 (A 942 350 15 05) - IABV (3588), CRISTAL DE ESPEJO IZQ MB 1218/1318  (A 688 725 71 10) - ORIGINAL</t>
  </si>
  <si>
    <t>Cambiar Lámpara Reglamentarias</t>
  </si>
  <si>
    <t>16-BDAS. VOLC. 3 EJES</t>
  </si>
  <si>
    <t>GMJ024</t>
  </si>
  <si>
    <t>Cambiar destellador</t>
  </si>
  <si>
    <t>Materiales planificados con Salida Cero: DESTELLADOR 24V 4T - DNI, LAMPARA 24V 5W (S/CULOTE) - NEOLUX</t>
  </si>
  <si>
    <t>Cambiar Lamparas Faro Colgante Der / Izq</t>
  </si>
  <si>
    <t>OAF643</t>
  </si>
  <si>
    <t>G310</t>
  </si>
  <si>
    <t>Cambio Filtro Secante (APU)</t>
  </si>
  <si>
    <t>Materiales planificados con Salida Cero: FILTRO TRAMPA DE AGUA SCANIA G410/G310/P340/R410 - MANN TB1394/3x, FILTRO DE CABINA - MANN CU37001</t>
  </si>
  <si>
    <t>Cambiar Faros De Aleron</t>
  </si>
  <si>
    <t>Materiales planificados con Salida Cero: FARO IZQ MB ATEGO (A 973 820 03 61) - FITAM (68068I), LAMPARA 24V 21W - NEOLUX, LAMPARA 24V 5W (C/CULOTE) - NEOLUX, COMANDO ALZA CRISTALES MB AXOR (A 005 545 39 13) ORIGINAL, FARO LED COMPLETO (C/FICHA) BAIML 1010E (AMBAR), TORNILLO PUNTA DE MECHA (3/8 -14X1") X UN, INDICADOR DE TORQUE RUEDA/ CHECKPOINT DE 32 MM, LAMPARA 24V 21W - NEOLUX, PRECINTOS DUROLL 400X4,8MM X 100 UNI</t>
  </si>
  <si>
    <t>Cambiar comando levanta vidrio</t>
  </si>
  <si>
    <t>710</t>
  </si>
  <si>
    <t>Cambio Porta Fusibles Aereos</t>
  </si>
  <si>
    <t>Materiales planificados con Salida Cero: CABLE TIPO TALLER DE 2 X 1,5 MM, PORTA FUSIBLE AEREO - ORO (1057), FUSIBLE 10 AMP - GENROD, TERMINAL OJAL DE 6MM, PRECINTOS GRETEL 200X3,6MM X 100 UNI, BALDE GRASA LUBRIGON X 20 KG, BULON HEXAGONAL 16X25MM X UN</t>
  </si>
  <si>
    <t>NIE146</t>
  </si>
  <si>
    <t>Materiales planificados con Salida Cero: FARO MB 1318/1624/1720/1620 - (96334300), ARANDELA 3/16" ZINCADA X UN, BALDE GRASA LUBRIGON X 20 KG</t>
  </si>
  <si>
    <t>S PA 3E 71</t>
  </si>
  <si>
    <t>Cambiar lamparas</t>
  </si>
  <si>
    <t>Materiales planificados con Salida Cero: LAMPARA 24V 21W</t>
  </si>
  <si>
    <t>GVU097</t>
  </si>
  <si>
    <t>Cambiar Tapa De Combustible</t>
  </si>
  <si>
    <t>2) Desconexión de material (Falta 'TAPA DE COMBUSTIBLE')</t>
  </si>
  <si>
    <t>Materiales cargados no coinciden: LIQUIDO REFRIGERANTE KRIOX INORGANICO X 1000LTS, LAMPARA 24V 5W (S/CULOTE) - NEOLUX, ACEITE 15W40 XV300 X 205LT (TAMBOR), LAMPARA H1 24V  - OSRAM, LAMPARA 24V 5W (S/CULOTE) - NEOLUX, PORTA LAMPARA PARA FARO COLGANTE DOBLE/SIMPLE 1035/6 (AMBAR/AMBAR) SIN CABLE - BAIML, FARO LED 48W - 15 X 4 X 5 CM - INFINITY TECH, TAPA DE GASOIL MB UNIVERSAL (TV-4080) - TRINK, PORTALAMPARA H1 MB (VA-1288)</t>
  </si>
  <si>
    <t>Enderezo Aleron Y Coloco Punta De Mecha</t>
  </si>
  <si>
    <t>2) Desconexión de material (Falta 'BOCHA')</t>
  </si>
  <si>
    <t>Materiales cargados no coinciden: DESTELLADOR 24V 4T - DNI</t>
  </si>
  <si>
    <t>OAF644</t>
  </si>
  <si>
    <t>Colocar Embrague (Placa, Disco y Volante Reparado)</t>
  </si>
  <si>
    <t>2) Desconexión de material (Falta 'DISCO', 'BOCHA')</t>
  </si>
  <si>
    <t>Materiales cargados no coinciden: ACOPLE RAPIDO RECTO DE 10MM, BULON M12x50MM (PASO 1.5) - ACERO DUREZA 10.9 - x UNIDAD, TUERCA AUTOFRENANTES DE 12MM, LIQUIDO P/FRENOS C12/1000 (CAJA 12 x 1LT), BULON HEXAGONAL 6X40MM X UN, TUERCA DE 6MM, VOLANTE DE EMBRAGUE SCANIA G310 (1776466) - CINPAL, KIT DE EMBRAGUE SCANIA G310 SACHS (3400 000 255 009), ACOPLE RAPIDO RECTO DE 1/2", FARO DELANTERO DER SCANIA G310 - FA801812 - NINO</t>
  </si>
  <si>
    <t>JYQ969</t>
  </si>
  <si>
    <t>TLH736</t>
  </si>
  <si>
    <t>Cambiar Cable Freno De Mano</t>
  </si>
  <si>
    <t>AF444TX</t>
  </si>
  <si>
    <t>Cambiar Lampara De Giro</t>
  </si>
  <si>
    <t>Materiales planificados con Salida Cero: AZUL 32 UREA x 1000LTS, LAMPARA H7 24V - NEOLUX, LAMPARA 24V 21W - NEOLUX</t>
  </si>
  <si>
    <t>FGV321</t>
  </si>
  <si>
    <t>1218</t>
  </si>
  <si>
    <t>HNE430</t>
  </si>
  <si>
    <t>Cambiar Bulbo Aceite</t>
  </si>
  <si>
    <t>Materiales cargados no coinciden: MANGUERA DE ENTRADA DEL TURBO AL FILTRO DE AIRE MB LS 1318 (A 693 520 00 86) - RESERPLASTIC (0004256, BORNE POSITIVO (N 072332 011100), BORNE NEGATIVO (N 072332 011200) - BAUD, RADIADOR DE AGUA MB 1318 (A 694 500 00 02) - MAHLE (CR 1244 001 P, CABLE TERMOCONTRAIBLE DE 3MM (PARA CABLE DE 1.5MM) X ROLLO, ARANDELA DE ALUMINIO 16MM, REPARACION DE ALTERNADOR 24V (Art. Reparado), LAMPARA 24V 5W (S/CULOTE) - NEOLUX, BATERIA 12V 100A - MOURA (ME100HI), LIQUIDO REFRIGERANTE KRIOX INORGANICO X 1000LTS, LIQUIDO REFRIGERANTE KRIOX INORGANICO X 1000LTS</t>
  </si>
  <si>
    <t>OFZ591</t>
  </si>
  <si>
    <t>Materiales cargados no coinciden: FARO DE SEMI REMOLQUE HEMBRA ROJO 3100, LAMPARA 24V 5W (S/CULOTE) - NEOLUX, FICHA 3 VIAS PARA FARO 3030E - ORO, BULÓN HEXAGONAL M8 X 20 MM PASO 1.25 DUREZA 8.8 MATERIAL ACERO BICROMATADO, TUERCA HEXAGONAL DE 8 MM PASO 1.25 DUREZA 8.8 MATERIAL ACERO BICROMATADO, ARANDELAS GROVER DE 8MM, ARANDELA BISELADA 10MM, FARO DE PATENTE MB 1318/1418/1720/2118 - BAIML (603), TOPE DE GOMA PARA FUELLE TUBULAR 63MM, TAPA INFERIOR ø195/ PARA FUELLE CONICO 435/170/140 - FUELLE RECTO 445/195 - METALURGICA MA, BUJE TENSOR DE SEMI (7/8"X47X78) - MERCOSIL, CINTA AISLADORA NEGRA 19MMx20Mx0.15MM 3M 165 TEMFLEX, PLATINA SUPERIOR DE FUELLE 32(195) (MMA - 4580), BASE FUELLE CONICO 31-140MM PARA FUELLE CONICO 435/170/140 - FUELLE RECTO 445/195, FUELLE DE SUSPENSION 31-170-140-480 - METALURGICA MA, FUELLE DE SUSPENSION 31-170-140-480, BASE PARA FUELLE TC260-BC202A-140 - METALURGICA MA (3420), PARCHE 112 TG (10 U) X CAJA, FARO DE SEMI REMOLQUE HEMBRA ROJO 3100, PLATINA SUPERIOR DE FUELLE 32(195) (MMA - 4580), FARO LED BAIML 1035 COLOR AMBAR, RETEN DE BARRAL TRASERO CINCADO - ASTPRA (SKU: ASP 15.03.42)</t>
  </si>
  <si>
    <t>GUW657</t>
  </si>
  <si>
    <t>LTS288</t>
  </si>
  <si>
    <t>Materiales planificados con Salida Cero: LAMPARA H7 24V  - NEOLUX</t>
  </si>
  <si>
    <t>JIU311</t>
  </si>
  <si>
    <t>Cambiar Faro Trasero Izq.</t>
  </si>
  <si>
    <t>Materiales planificados con Salida Cero: FARO TRASERO IZQ (C/VENTANA) MB AXOR 1933 (A 001 540 62 70) ORIGINAL, ARANDELAS PLANAS DE 8MM, BULON HEXAGONAL 6X15MM X UN, BULON HEXAGONAL 6X25MM X UN, MOTOR DE TURBINA DE CALEFACCION MB ATEGO/AXOR (003 830 01 08) - OMER</t>
  </si>
  <si>
    <t>GOX959</t>
  </si>
  <si>
    <t>Colocar Precintos</t>
  </si>
  <si>
    <t>PALETERO S.PA.3E.71 2+1</t>
  </si>
  <si>
    <t>AD426HY</t>
  </si>
  <si>
    <t>KBO542</t>
  </si>
  <si>
    <t>Cambiar Pata De Caja Der</t>
  </si>
  <si>
    <t>Materiales cargados no coinciden: PATA DE MOTOR TRASERA MB 1933 (A 940 240 12 18) - ORIGINAL, KIT REPARACION PATA DE MOTOR DELANTERA MB 1933 - REI (R3326), CUBIERTA LINEAL 295 R22.5 - FATE</t>
  </si>
  <si>
    <t>Materiales planificados con Salida Cero: FILTRO DE ACEITE 6 CILINDROS MB 1725/1726/1933/1624L/1721 OF ELECTRONICO - MANN HU 945/2x, ACEITE 15W40 XV300 X 205LT (TAMBOR)</t>
  </si>
  <si>
    <t>Cambiar filtro de aire</t>
  </si>
  <si>
    <t>Materiales planificados con Salida Cero: FILTRO DE AIRE MB 2426/AXOR 1933 - MANN C28 1012</t>
  </si>
  <si>
    <t>OHH590</t>
  </si>
  <si>
    <t>Materiales cargados no coinciden: FILTRO DE DIRECCION HIDRAULICA MB 1114/1318/1620/1634/1720/710/712/914, ABRAZADERA (12MM) 23-35MM x UN, TACO DE PARAGOLPE 190x70x60 PARA REMOLQUES - NUGOM, BULON 5/16 X2 1/2", ARANDELAS PLANAS DE 8MM, TUERCA 5/16, ACEITE HIDRAULICO BP 68 X 20LTS</t>
  </si>
  <si>
    <t>BNW644</t>
  </si>
  <si>
    <t>Cambio Cerradura De Puerta Izq</t>
  </si>
  <si>
    <t>2) Desconexión de material (Falta 'CERRADURA')</t>
  </si>
  <si>
    <t>Materiales cargados no coinciden: PESTILLO EXTERNO DE PUERTA MB 710/1215 (A 694 720 70 04) - RGL (MBO13-I), BATERIA 12V 180A - MOURA, FILTRO DE COMBUSTIBLE - MANN WK1156, ESCOBILLA LIMPIA PARABRISAS 40CM MB 710 (A 688 820 70 45) ORIGINAL, LAMPARA 12V 5W (DOS POLOS)</t>
  </si>
  <si>
    <t>OJG064</t>
  </si>
  <si>
    <t>Cambiar Manija Levanta Vidrio Izq.</t>
  </si>
  <si>
    <t>2) Desconexión de material (Falta 'OPTICA')</t>
  </si>
  <si>
    <t>Materiales cargados no coinciden: TORNILLO FIX 4.5 X 25, MANIJA ALZA CRISTALES MB 1720/1620/1634/1318 (A 688 760 70 02) - RGL (2146G), TORNILLO FIX 4.5 X 40, ARANDELA BISELADA 6MM</t>
  </si>
  <si>
    <t>KMM903</t>
  </si>
  <si>
    <t>Desarmar Tablero y Cambiar Lamparas</t>
  </si>
  <si>
    <t>2) Desconexión de material (Falta 'TABLERO')</t>
  </si>
  <si>
    <t>Materiales cargados no coinciden: PRECINTOS DUROLL 400X4,8MM X 100 UNI, AMORTIGUADOR LEVANTA CAPOT MB 2541 (A 009 988 15 01) ORIGINAL, MEDIDOR DE NIVEL DE COMBUSTIBLE (A 696 542 03 17) ORIGINAL, PRECINTOS 400X7,2MM X 100 UNI - BREMEN, PRECINTOS 400X7,2MM X 100 UNI - DUROLL, ABRAZADERA PERFECTO (12MM) 16-27MM x UN, LAMPARA 24V 1.2W S/CULOTE</t>
  </si>
  <si>
    <t>Cambiar Flotante Gas Oil</t>
  </si>
  <si>
    <t>2) Desconexión de material (Falta 'FLOTANTE GAS OIL')</t>
  </si>
  <si>
    <t>IDJ796</t>
  </si>
  <si>
    <t>S FP 3E 98</t>
  </si>
  <si>
    <t>2) Desconexión de material (Falta 'NEUMATICO', 'RUEDA')</t>
  </si>
  <si>
    <t>Reparar Vejiga y Cambiar Base</t>
  </si>
  <si>
    <t>GRC311</t>
  </si>
  <si>
    <t>Cambiar lampra 21w 24v</t>
  </si>
  <si>
    <t>Materiales planificados con Salida Cero: LAMPARA 21/5W 24V - NEOLUX</t>
  </si>
  <si>
    <t>NIE152</t>
  </si>
  <si>
    <t>Materiales planificados con Salida Cero: CALCO LOGO TDU LATERAL CAMION</t>
  </si>
  <si>
    <t>OHH596</t>
  </si>
  <si>
    <t>Materiales planificados con Salida Cero: FUSIBLE 10 AMP</t>
  </si>
  <si>
    <t>ESTRUCTURA BA</t>
  </si>
  <si>
    <t>ESTRUCTURA BUENOS AIRES</t>
  </si>
  <si>
    <t>Colocar Cilindro, Colocar Cinta, Engrasar Ruleman y Colocar Rueda Delantera Lado Izq</t>
  </si>
  <si>
    <t>Materiales cargados no coinciden: ARANDELAS GROVER DE 8MM, BULON 5/16x1</t>
  </si>
  <si>
    <t>GDR525</t>
  </si>
  <si>
    <t>1620</t>
  </si>
  <si>
    <t>Cambiar Vejiga Levanta Eje Izq</t>
  </si>
  <si>
    <t>Materiales cargados no coinciden: TECLA DE LUZ 8 PATAS C/REOSTATO MB 1620 (A 695 545 88 14) - KOSTAL (3040100), BASE PARA FUELLE TC260-BC202A-140 - METALURGICA MA (3420), TAPA INFERIOR ø195/ PARA FUELLE CONICO 435/170/140 - FUELLE RECTO 445/195 - METALURGICA MA, PRECINTOS DUROLL 400X4,8MM X 100 UNI, FUELLE DE SUSPENSION 260-170-140-395 - SADAR (SN1020), TORNILLO FIX PARA MADERA 6X40, ACEITE 15W40 XV300 X 205LT (TAMBOR), PLATINA SUPERIOR DE FUELLE 32(195) (MMA - 4580)</t>
  </si>
  <si>
    <t>GDR526</t>
  </si>
  <si>
    <t>Cambiar Faro Delantero Izq</t>
  </si>
  <si>
    <t>Materiales planificados con Salida Cero: FARO IZQ MB 1318/1624/1720/1620 (A 694 820 73 21) - FITAM, INDICADOR DE TORQUE RUEDA/ CHECKPOINT DE 32 MM, ACEITE 15W40 XV300 X 205LT (TAMBOR)</t>
  </si>
  <si>
    <t>Cambiar Comando Levanta Vidrio Izq</t>
  </si>
  <si>
    <t>Materiales cargados no coinciden: COMANDO ALZA CRISTALES MB AXOR (A 005 545 39 13) ORIGINAL, ACEITE 15W40 XV300 X 205LT (TAMBOR)</t>
  </si>
  <si>
    <t>KJH882</t>
  </si>
  <si>
    <t>Cambiar Rotor De Vigia</t>
  </si>
  <si>
    <t>Materiales planificados con Salida Cero: TAPA DE GASOIL MB UNIVERSAL (TV-4080) - TRINK, TORNILLO FIX 4.5 X 70, ROTOR NPT 3/4" - CORTO (2361), LAMPARA 24V 21/5W  - HELLA, CUBIERTA LINEAL 295 R22.5 - FATE</t>
  </si>
  <si>
    <t>KBV611</t>
  </si>
  <si>
    <t>Cambiar Bocina Nueva</t>
  </si>
  <si>
    <t>Materiales planificados con Salida Cero: ARANDELA PLANA 3/8, TUERCA 5/16, BOCINAS 24V - DZE (12501), PRECINTOS 400X7,2MM X 100 UNI - BREMEN, BALDE GRASA LUBRIGON X 20 KG</t>
  </si>
  <si>
    <t>AF746EN</t>
  </si>
  <si>
    <t>AE297QN</t>
  </si>
  <si>
    <t>AF114FP</t>
  </si>
  <si>
    <t>Tercero</t>
  </si>
  <si>
    <t>Colocar depsosito de agua</t>
  </si>
  <si>
    <t>2) Desconexión de material (Falta 'DEPOSITO DE AGUA', 'DEPOSITO AGUA')</t>
  </si>
  <si>
    <t>Materiales cargados no coinciden: LAMPARA 24V 5W (S/CULOTE) - NEOLUX, ACEITE 15W40 XV300 X 205LT (TAMBOR), FARO LED BAIML 1035 COLOR AMBAR, FARO DE GALIBO DELANTERA ARRIBA BLANCO MB 1933 (A 002 820 51 56/A 002 820 50 56) - FITAM (68048), LAMPARA 24V 5W (C/CULOTE) - NEOLUX, VALVULA PEDALERA  DE FRENO MB 1624 SIN ESPARRAGO - WABCO 4613152460, CONEXION DE BRONCE RECTA 1/4" - 1/4", ACOPLE RAPIDO RECTO DE 8MM, ACOPLE RÁPIDO RECTO DE 6MM (UNIVERSAL), BULÓN HEXAGONAL M8 X 20 MM PASO 1.25 DUREZA 8.8 MATERIAL ACERO BICROMATADO, ACOPLE RAPIDO RECTO DE 8MM, CONEXION DE BRONCE RECTA 1/4" - 1/4", BALDE GRASA LUBRIGON X 20 KG</t>
  </si>
  <si>
    <t>OJG098</t>
  </si>
  <si>
    <t>Cambiar Cubierta Taco TDI-TDE Desarme y Arme</t>
  </si>
  <si>
    <t>Materiales planificados con Salida Cero: CUBIERTA TACO 275 R22.5 - FATE</t>
  </si>
  <si>
    <t>KKZ666</t>
  </si>
  <si>
    <t>2) Desconexión de material (Falta 'DISCO', 'BOCHA', 'CHAPA')</t>
  </si>
  <si>
    <t>Materiales planificados con Salida Cero: LAMPARA H1 24V</t>
  </si>
  <si>
    <t>AG255NH</t>
  </si>
  <si>
    <t>Cambiar Hoja De Elastico</t>
  </si>
  <si>
    <t>JKG664</t>
  </si>
  <si>
    <t>AF491HL</t>
  </si>
  <si>
    <t>Cambiar Matafuego</t>
  </si>
  <si>
    <t>2) Desconexión de material (Falta 'MATAFUEGO')</t>
  </si>
  <si>
    <t>Materiales cargados no coinciden: LAMPARA 12V 21W UN POLO, LAMPARA 12V 21W/5W (DOS POLOS) - OSRAM, ACEITE 15W40 XV300 X 205LT (TAMBOR)</t>
  </si>
  <si>
    <t>GNY197</t>
  </si>
  <si>
    <t>Materiales planificados con Salida Cero: LAMPARA 24V 21/5W  - HELLA, LAMPARA H1 24V  - OSRAM, PORTALAMPARA H1 MB (VA-1288), RODAMIENTO PUENTE CARDAN 50MM - TIMKEN (HB88510), GRASA 62 X 20 KG, PRECINTOS DUROLL 400X4,8MM X 100 UNI</t>
  </si>
  <si>
    <t>Cambiar Caja Reguladora De Frenos Del Der</t>
  </si>
  <si>
    <t>Cambiar aceite de diferencial</t>
  </si>
  <si>
    <t>AG300AR</t>
  </si>
  <si>
    <t>Cambiar Faro Delantero Der</t>
  </si>
  <si>
    <t>KMF921</t>
  </si>
  <si>
    <t>Colocar chapa Semi C/Remaches  Lateral Izquierdo</t>
  </si>
  <si>
    <t>2) Desconexión de material (Falta 'TORNILO')</t>
  </si>
  <si>
    <t>Materiales cargados no coinciden: SIKAFLEX 221 x 600ml (SALCHICHA), CHAPA GALVANIZADA 0.30X16.50 MTS (ESPESOR 0.7) X UN, CHAPA GALVANIZADA 0.30X16.50 MTS (ESPESOR 0.7) X UN, SIKAFLEX 221 x 600ml (SALCHICHA)</t>
  </si>
  <si>
    <t>Cambiar Flexible De Escape</t>
  </si>
  <si>
    <t>Materiales planificados con Salida Cero: FLEXIBLE DE TUBO DE ESCAPE MB 1933 (A 958 490 00 65) ORIGINAL</t>
  </si>
  <si>
    <t>Materiales cargados no coinciden: FILTRO DE ACEITE MB AXOR 2036/2035 - MANN HU 12 110X, ACEITE 15W40 XV300 X 205LT (TAMBOR)</t>
  </si>
  <si>
    <t>KER728</t>
  </si>
  <si>
    <t>Colocar Tornillo a Traba De Porton Trasero</t>
  </si>
  <si>
    <t>Colocar Tornillo a Babero Izq</t>
  </si>
  <si>
    <t>2) Desconexión de material (Falta 'TORNILO', 'GUARDABARROS', 'TABLERO')</t>
  </si>
  <si>
    <t>Materiales cargados no coinciden: DEPOSITO DE AGUA MB 1720 - RESERPLASTIC (000128), LAMPARA H7 24V  - NEOLUX, BULON HEXAGONAL ACERO ZINCADO 1/4" X 40MM - PASO 1,5MM, ARANDELA PLANA ACERO ZINCADO 1/4", TUERCA AUTOFRENANTE HEXAGONAL ACERO ZINCADO 1/4" - PASO 1,5MM, LIQUIDO REFRIGERANTE 50/50 X 1000LTS</t>
  </si>
  <si>
    <t>Cambiar Piton De Centro</t>
  </si>
  <si>
    <t>OAF635</t>
  </si>
  <si>
    <t>Cambiar rueda completa remolque en taller</t>
  </si>
  <si>
    <t>Materiales planificados con Salida Cero: RECAPADO NEUMATICO 295</t>
  </si>
  <si>
    <t>JEB635</t>
  </si>
  <si>
    <t>KHS012</t>
  </si>
  <si>
    <t>Cambiar Turbo Motor</t>
  </si>
  <si>
    <t>Cambiar Tacho De Liquido Refrigente</t>
  </si>
  <si>
    <t>Materiales cargados no coinciden: FILTRO DE ACEITE 6 CILINDROS MB 710/914/1218/1418L/1620/1720/1721LK/LS-S - MANN W 1168/5, ACEITE 15W40 XV300 X 205LT (TAMBOR)</t>
  </si>
  <si>
    <t>AD426IJ</t>
  </si>
  <si>
    <t>Materiales planificados con Salida Cero: REPARACION DE VALVULA DISTRIBUIDORA (ART. REPARADO)</t>
  </si>
  <si>
    <t>KVP166</t>
  </si>
  <si>
    <t>GNY198</t>
  </si>
  <si>
    <t>Coloco Tornillo A Rienda De Puerta</t>
  </si>
  <si>
    <t>LRN157</t>
  </si>
  <si>
    <t>Cambiar Espejo Lado Der</t>
  </si>
  <si>
    <t>Materiales planificados con Salida Cero: ESPEJO DERECHO - (SP 1602)</t>
  </si>
  <si>
    <t>Materiales planificados con Salida Cero: LAMPARA H7 24V  - NEOLUX, AZUL 32 UREA x 1000LTS</t>
  </si>
  <si>
    <t>AF461DA</t>
  </si>
  <si>
    <t>Cambiar Cubierta 3 Eje Der 3DE Desarme y Arme (Usada Buena)</t>
  </si>
  <si>
    <t>Materiales planificados con Salida Cero: ELECTROVÁLVULA DE EJE NEUMATICO 24V de V 5/2 – 1/4 (4V210-08-DC) - PELLACANI</t>
  </si>
  <si>
    <t>Colocar Vejiga Reparada</t>
  </si>
  <si>
    <t>Cambio Faro De Balizamiento Lado Estribo</t>
  </si>
  <si>
    <t>Colocar Estribo Derecho Reparado (AH906DF)</t>
  </si>
  <si>
    <t>Colocar Soporte De GNC Reparado (AH906DF)</t>
  </si>
  <si>
    <t>Colocar Tapa de Cilindro</t>
  </si>
  <si>
    <t>2) Desconexión de material (Falta 'CILINDRO', 'FUELLE')</t>
  </si>
  <si>
    <t>Materiales cargados no coinciden: ROTOR NPT 3/4" - CORTO (2361), ARANDELA ALUMINIO 20MM, JUNTA BASE DE RADIADOR DE ACEITE MB 1725 (A 926 188 00 80) - ORIGINAL, ORING DE REFRIGERACION DE ACEITE MB AXOR 1933 (A 000 188 33 80) - PAMPA, CONECTOR BOMBA DE AGUA 904/906 MB 1624/1725 (A 936 203 33 36) ORIGINAL, CORREA 8PK 1380, TENSOR DE CORREA MB 1624 (A 906 200 67 70) ORIGINAL, REGULADOR DE VOLTAJE ALTERNADOR 24V 80 AMP F00M 144 123 BOSCH, FILTRO DE AIRE APU - MANN TB1374/13X, JUEGO DE JUNTA DESCARBONIZACION MB 1933 (A 926 010 35 20) ORIGINAL, LIJA AL AGUA 230x280 GR200, LIJA AL AGUA 230x280 GR120, REPARACION DE COMPRESOR DE AIRE  TAPA CORTA(ART. REPARADO), REPARACION DE VALVULA PEDALERA MB 1933/1725 (ART. REPARADO), REPARACION DE VALVULA DE SECADO (ART. REPARADO), CAÑO POLIAMIDA DE 1/2"" X MT, CABLE UNIPOLAR DE 2,5MM X MT, ARANDELA DE ALUMINIO 12MM, PRECINTOS 400X7,2MM X 100 UNI - RODA, PRECINTOS 400X7,2MM X 100 UNI - RODA, LAMPARA 24V 5W (S/CULOTE) - OSRAM, HIDRO ATF B 20 (125480), DESENGRASANTE TRANSNET C SUPER 26K (9503), ARANDELA ALUMINIO 14MM, TERMINAL OJAL DE COBRE ESTAÑADO DE 35MM - BAUD-MOL, THINNER X 18LT, PORTALAMPARA 5W 24V (SIN CABLES), CINTA AISLADORA NEGRA 19MMx20Mx0.15MM 3M 165 TEMFLEX</t>
  </si>
  <si>
    <t>IDX163</t>
  </si>
  <si>
    <t>Colocar Triller + Modificacion</t>
  </si>
  <si>
    <t>2) Desconexión de material (Falta 'TRILLER')</t>
  </si>
  <si>
    <t>Materiales cargados no coinciden: TUERCA HEXAGONAL DE 8 MM PASO 1.25 DUREZA 8.8 MATERIAL ACERO BICROMATADO, BULÓN HEXAGONAL M8 X 20 MM PASO 1.25 DUREZA 8.8 MATERIAL ACERO BICROMATADO, TUERCA HEXAGONAL DE 1/4" PASO 1.25 DUREZA 8.8 MATERIAL ACERO ZINCADO, ARANDELA PLANAS DE 10MM, ARANDELAS GROVER DE 6MM, BULON HEXAGONAL 1/4" X40 MM X UN, ARANDELA DE ALUMINIO 16MM, CUBIERTA TACO 295 R22.5 - FATE, LAMPARA 24V 21W - OSRAM, ARANDELA DE ALUMINIO 16MM, CAÑO INYECTOR (OM 904-906) (A 906 070 24 33) - ORIGINAL, VALVULA ANTIRETORNO CORTA - VIGIA (X 1411.A038-3), REPARACION DE ALTERNADOR 24V (Art. Reparado), FUNDA DE PALANCA DE CAMBIO MB AXOR 1933 (A 941 268 00 97) ORIGINAL, CONECTOR SUPERIOR - VIGIA (x2433.a047-5), FUSIBLE 15 AMP - GENROD</t>
  </si>
  <si>
    <t>AF118QB</t>
  </si>
  <si>
    <t>Cambiar Alternador</t>
  </si>
  <si>
    <t>Materiales planificados con Salida Cero: REPARACION DE ALTERNADOR 24V (Art. Reparado), DEPOSITO DE AGUA MB ATEGO (A 970 500 04 49) - RESERPLASTIC (000899)</t>
  </si>
  <si>
    <t>Cambiar Soporte De Alternador</t>
  </si>
  <si>
    <t>2) Desconexión de material (Falta 'ALTERNADOR')</t>
  </si>
  <si>
    <t>Materiales cargados no coinciden: TORNILLO PUNTA DE MECHA (3/8 -14X1") X UN, PRECINTOS DUROLL 400X4,8MM X 100 UNI, TACO DE PARAGOLPE 270x75x75 PARA REMOLQUES - NUGOM, CARRITO DE LONA DOBLE CORREDERA UNIVERSAL (32MM), LAMPARA H1 12V, MARCO FARO DER MB 1620 (A 694 884 72 74) ORIGINAL, SOPORTE DE MOTOR MB 1620 (A 366 150 06 73) ORIGINAL, PARCHE 110 TG (10 U) X CAJA, MANIJA DE PUERTA INTERNA IZQ - MAYREA (56572L), TORNILLO PUNTA DE MECHA (3/8 -14X1") X UN</t>
  </si>
  <si>
    <t>AF461DC</t>
  </si>
  <si>
    <t>Cambiar Cinta Frenos 2Eje Lado Der</t>
  </si>
  <si>
    <t>Materiales cargados no coinciden: ACOPLE RAPIDO CODO DE 6MM CON ROSCA MACHO 1/2, READECUACION DE CINTAS DE FRENO (SEMI REMOLQUE) (ART. REPARADO)</t>
  </si>
  <si>
    <t>Cambio Luz Alta H1</t>
  </si>
  <si>
    <t>JXJ303</t>
  </si>
  <si>
    <t>Materiales cargados no coinciden: BALDE GRASA LUBRIGON X 20 KG, INDICADOR DE TORQUE RUEDA/ CHECKPOINT DE 32 MM, LIQUIDO REFRIGERANTE KRIOX INORGANICO X 1000LTS, ACEITE 15W40 XV300 X 205LT (TAMBOR), SENSOR DE PUNTO NEUTRO MB 1933/1725 (A 002 545 01 09) ORIGINAL, LAMPARA 24V PY21W, FARO DE GIRO ATEGO IZQ (A 973 820 01 21) - AUSILI (1078E), CUBRE VOLANTE AXOR 1933 (450MM) - AIEL, RADIADOR DE CALEFACCION MB AXOR 1933/ATEGO 1725 (000 830 34 20/383) ORIGINAL, MEMBRANA LIQUIDA BLANCA POLIURETANICA x 20LTS - VENIER</t>
  </si>
  <si>
    <t>Materiales cargados no coinciden: TAPA DE FILTRO DE GASOIL (OM904/906/0500) (A 990 092 01 08) - HENGS</t>
  </si>
  <si>
    <t>Cambiar Cinta Frenos 1Eje Lado Izq</t>
  </si>
  <si>
    <t>Materiales cargados no coinciden: RODILLO DE PATIN LISO 32MM - SKU (MPFR0054), RESORTE RECTO RETRACCION P/PATIN FRENO MASTER GANCHO MOVIL (18 X 132 X 5MM.), READECUACION DE CINTAS DE FRENO (SEMI REMOLQUE) (ART. REPARADO), CUBIERTA LINEAL 295 R22.5 - FATE, RECTIFICACION DE CAMPANAS DE FRENO</t>
  </si>
  <si>
    <t>Materiales cargados no coinciden: CRAPODINA DE EMBRAGUE HIDRAULICA MB 1215 (A 002 250 51 15) ORIGINAL, KIT DE EMBRAGUE MB 1418/1720/1624 (395MM) ORIGINAL (ART. REPARADO), COJINETE DE DESEMBRAGUE MB 712/1318 (A 002 250 66 15) ORIGINAL, RETEN DE VOLANTE DE MOTOR DE EMBRAGUE MB 2035 (A 025 997 50 47) - SAV (10375), GOMA DE PEDAL DE EMBRAGUE/FRENO MB 1225 (A 110 291 01 82) ORIGINAL, LIQUIDO REFRIGERANTE KRIOX INORGANICO X 1000LTS</t>
  </si>
  <si>
    <t>Sacar y Colocar Parrilla Delantera</t>
  </si>
  <si>
    <t>2) Desconexión de material (Falta 'PARRILLA')</t>
  </si>
  <si>
    <t>Materiales planificados con Salida Cero: REPARACION DE VALVULA DISTRIBUIDORA (ART. REPARADO), TRABASIL PARA RODAMIENTOS Y BUJES (300059) VB1 X 50G</t>
  </si>
  <si>
    <t>LFK339</t>
  </si>
  <si>
    <t>2) Desconexión de material (Falta 'FILTRO')</t>
  </si>
  <si>
    <t>Materiales cargados no coinciden: REPARACION DE VALVULA DE SECADO (ART. REPARADO), REPARACION DE VALVULA PROTECTORA 4 VIAS (ART. REPARADO), CAÑO FLEXIBLE COMPRESOR MB 1720/O400 (OM 457) (A 665 429 76 35) ORIGINAL</t>
  </si>
  <si>
    <t>AD426IH</t>
  </si>
  <si>
    <t>Cambiar Manguera Superiror De Radiador</t>
  </si>
  <si>
    <t>Materiales planificados con Salida Cero: SENSOR DE NIVEL DE REFRIGERANTE MB 1933/ATEGO (A 970 545 01 24) ORIGINAL, CAÑO FLEXIBLE DE AGUA MB 2541 (A 958 501 07 82) ORIGINAL, CAÑO DE REFRIGERACION BLOCK AL COMPRESOR MB 2541/2036 (A 457 200 50 52) - RIGIFLEX, DEPOSITO DE AGUA MB 2541 (A 940 501 00 03) - RESERPLASTIC, PATA DE MOTOR TRASERA MB 2541 (A 958 241 28 13) - ORIGINAL, CUBIERTA TACO 295 R22.5 - FATE, AZUL 32 UREA x 1000LTS, CAÑO FLEXIBLE DE AGUA MB 2541 (A 958 501 08 82) ORIGINAL, LIQUIDO REFRIGERANTE KRIOX INORGANICO X 1000LTS, JUNTA DE BLOCK DE COMPRESOR 85MM MB 2035 (A 457 131 01 80) -WABCO</t>
  </si>
  <si>
    <t>Cambiar Fuelle De Suspension</t>
  </si>
  <si>
    <t>Materiales planificados con Salida Cero: FUELLE DE SUSPENCION TC280-390 D:280MM A:390 US NEUMACARG, LAMPARA 24V 5W (S/CULOTE) - NEOLUX, FARO DE PATENTE MB 1318/1418/1720/2118 - BAIML (603), TERMINAL PALA HEMBRA 6.3MM, LAMPARA 24V 5W (S/CULOTE) - NEOLUX</t>
  </si>
  <si>
    <t>AG176NA</t>
  </si>
  <si>
    <t>TECTOR 160E21</t>
  </si>
  <si>
    <t>Cambiar Aceite</t>
  </si>
  <si>
    <t>Materiales planificados con Salida Cero: ACEITE 15W40 XV300 X 205LT (TAMBOR)</t>
  </si>
  <si>
    <t>Cambiar Forzador De Calefaccion</t>
  </si>
  <si>
    <t>OHH595</t>
  </si>
  <si>
    <t>Materiales cargados no coinciden: FILTRO DE ACEITE - MANN H932/4X, ACEITE 15W40 XV300 X 205LT (TAMBOR)</t>
  </si>
  <si>
    <t>Colocar bomba de aceite y cañerias</t>
  </si>
  <si>
    <t>AF066NX</t>
  </si>
  <si>
    <t>AF114FN</t>
  </si>
  <si>
    <t>Materiales cargados no coinciden: BATERIA 12V 100A - MOURA (ME100HI), FARO DE GIRO DER IVECO 160E21/170E28 (5801640351) ORIGINAL, LAMPARA 24V 5W (S/CULOTE) - NEOLUX, FARO DE GIRO DER IVECO TECTOR (5801755123) ORIGINAL, TORNILLO FIX 4.5 X 40, PRECINTOS DUROLL 400X4,8MM X 100 UNI</t>
  </si>
  <si>
    <t>Cambio Manguera De Vigia De Rueda Trasera Izq</t>
  </si>
  <si>
    <t>2) Desconexión de material (Falta 'MANGUERA', 'RUEDA', 'VIGIA')</t>
  </si>
  <si>
    <t>Materiales cargados no coinciden: RESORTE RECTO RETRACCION P/PATIN FRENO MASTER GANCHO MOVIL (18 X 132 X 5MM.), READECUACION DE CINTAS DE FRENO (SEMI REMOLQUE) (ART. REPARADO)</t>
  </si>
  <si>
    <t>Desarme y Arme Faros Traseros para Cambio de Lámpara</t>
  </si>
  <si>
    <t>Materiales cargados no coinciden: LAMPARA H3 24V - HELLA, LAMPARA 24V 21/5W  - HELLA, LAMPARA 24V 5W (C/CULOTE) - NEOLUX, LAMPARA 24V 21W - OSRAM</t>
  </si>
  <si>
    <t>AD367QA</t>
  </si>
  <si>
    <t>Colocar tornillo a parabicicletas izq</t>
  </si>
  <si>
    <t>Materiales planificados con Salida Cero: TUERCA HEXAGONAL DE 1/4" PASO 1.25 DUREZA 8.8 MATERIAL ACERO ZINCADO, ARANDELA PLANAS DE 10MM, ARANDELA BISELADA 8MM</t>
  </si>
  <si>
    <t>OJG101</t>
  </si>
  <si>
    <t>Cambiar Líquido Refrigerante</t>
  </si>
  <si>
    <t>Materiales planificados con Salida Cero: TAPA DE CIERRE DE ARBOL DE LEVAS (OM 904/906) MB 1624/1318 (40MM) (A 000 997 43 20) ORIGINAL, ARANDELA ALUMINIO 14MM, LIQUIDO REFRIGERANTE KRIOX INORGANICO X 1000LTS, CINTA REFLECTIVA BLANCA X MT</t>
  </si>
  <si>
    <t>Cambiar tapon de block</t>
  </si>
  <si>
    <t>GLT550</t>
  </si>
  <si>
    <t>Materiales planificados con Salida Cero: CAÑO POLIAMIDA DE 1/2"" X MT, LIQUIDO REFRIGERANTE KRIOX INORGANICO X 1000LTS</t>
  </si>
  <si>
    <t>GFZ651</t>
  </si>
  <si>
    <t>Materiales planificados con Salida Cero: FARO DE GIRO DEL IZQ MB 1318/1624 (A 694 820 73 21) ORIGINAL, MARCO FARO DER MB 1620 (A 694 884 72 74) ORIGINAL, LAMPARA 24V 21W - OSRAM, LAMPARA 24V 5W (S/CULOTE) - OSRAM</t>
  </si>
  <si>
    <t>Cambiar Marco De Giro Der + Lijar y Pintar</t>
  </si>
  <si>
    <t>Cambiar Cubiertas Del. DD/DI Desarme y Arme</t>
  </si>
  <si>
    <t>LFK336</t>
  </si>
  <si>
    <t>Balancines Sacar Embujar y Colocar</t>
  </si>
  <si>
    <t>Coloco Perno Y Bujes De Eje De Balancion</t>
  </si>
  <si>
    <t>Cambiar Faro Completo Cuernitos Laterales Superior</t>
  </si>
  <si>
    <t>2) Desconexión de material (Falta 'BILLERA')</t>
  </si>
  <si>
    <t>JAD357</t>
  </si>
  <si>
    <t>OHH589</t>
  </si>
  <si>
    <t>Cambiar Tristop 2 Eje Lado Der</t>
  </si>
  <si>
    <t>2) Desconexión de material (Falta 'TOP')</t>
  </si>
  <si>
    <t>JWV370</t>
  </si>
  <si>
    <t>Cambiar Lamparas 24V 21/5w Varias</t>
  </si>
  <si>
    <t>Materiales planificados con Salida Cero: LAMPARA 24V 21W, LAMPARA H7 24V</t>
  </si>
  <si>
    <t>NIE153</t>
  </si>
  <si>
    <t>AF371BG</t>
  </si>
  <si>
    <t>Cambiar Cinta Frenos 3Eje Lado Izq</t>
  </si>
  <si>
    <t>KER727</t>
  </si>
  <si>
    <t>Colocar Membrana en Pasta al Techo 2 Manos</t>
  </si>
  <si>
    <t>2) Desconexión de material (Falta 'MEMBRANA')</t>
  </si>
  <si>
    <t>Cambiar Puente De Cardan</t>
  </si>
  <si>
    <t>KGM735</t>
  </si>
  <si>
    <t>Colocar chapa Semi C/Remaches  Lateral Derecho</t>
  </si>
  <si>
    <t>2) Desconexión de material (Falta 'PATENTE', 'CHAPA')</t>
  </si>
  <si>
    <t>Materiales cargados no coinciden: REMACHE POP ALUMINIO DE 5MM DIAMETRO X 20MM LARGO</t>
  </si>
  <si>
    <t>Cambiar Cinta Frenos 1Eje Lado Der</t>
  </si>
  <si>
    <t>2) Desconexión de material (Falta 'FICHA LUCES', 'INSTALACION ELECTRICA')</t>
  </si>
  <si>
    <t>OAF641</t>
  </si>
  <si>
    <t>2) Desconexión de material (Falta 'VIGIA')</t>
  </si>
  <si>
    <t>2) Desconexión de material (Falta 'BAJADA DE VIGIA', 'VIGIA')</t>
  </si>
  <si>
    <t>HRJ003</t>
  </si>
  <si>
    <t>Cambiar lampara 5w 24v</t>
  </si>
  <si>
    <t>Materiales cargados no coinciden: COMANDO ALZA CRISTALES MB AXOR (A 005 545 39 13) ORIGINAL</t>
  </si>
  <si>
    <t>Colocar Tornillo al Tope de Puerta Izq</t>
  </si>
  <si>
    <t>OJG097</t>
  </si>
  <si>
    <t>Cambiar Fusible 10 Amp</t>
  </si>
  <si>
    <t>AF743LB</t>
  </si>
  <si>
    <t>Parametrizar todos los cambios</t>
  </si>
  <si>
    <t>Materiales cargados no coinciden: PRECINTOS GRETEL 200X3,6MM X 100 UNI, CABLE TIPO TALLER DE 3 X 1,5 MM, PRECINTOS 400X7,2MM X 100 UNI - BREMEN, ACEITE 15W40 XV300 X 205LT (TAMBOR), FUSIBLE 15 AMP - GENROD, LAMPARA 24V 5W (C/CULOTE) - NEOLUX, TERMINAL OJAL DE 10MM, ESCOBILLA LIMPIA PARABRISAS 24" - BOSCH (B172), LAMPARA 24V 5W (C/CULOTE) - NEOLUX, REPARACION DE MODULO PLD (ART. REPARADO), TERMINAL OJAL DE 6MM, LAMPARA 24V 21/5W  - HELLA, ABRAZADERA PARA COJINETE DE CABINA MB 1418/1725/1726/1721/1729 (A 958 317 01 25) ORIGINAL, PORTA FUSIBLE AEREO - ORO (1057), REPARACION DE MODULO CPC (ART. REPARADO)</t>
  </si>
  <si>
    <t>Cambiar Manguera Espiralada De Triller</t>
  </si>
  <si>
    <t>Materiales planificados con Salida Cero: LAMPARA 24V 5W (C/CULOTE)</t>
  </si>
  <si>
    <t>OHH597</t>
  </si>
  <si>
    <t>Materiales planificados con Salida Cero: LAMPARA 24V 21W - NEOLUX</t>
  </si>
  <si>
    <t>Materiales planificados con Salida Cero: FILTRO DE ACEITE SCANIA G310 - TECFIL (PEL415), ACEITE 15W40 XV300 X 205LT (TAMBOR)</t>
  </si>
  <si>
    <t>Cambio De Filtro Gas Oíl Y Trampa De Agua</t>
  </si>
  <si>
    <t>Materiales planificados con Salida Cero: FILTRO DE COMBUSTIBLE SCANIA G310/G410/P340/R410 - MANN PU 941 X, FILTRO TRAMPA DE AGUA SCANIA G410/G310/P340/R410 - MANN WK 1060/6</t>
  </si>
  <si>
    <t>Cambiar Cubierta 3 Eje Der 3DI Desarme y Arme (Usada Buena)</t>
  </si>
  <si>
    <t>Colocar Bulbo de Neutro</t>
  </si>
  <si>
    <t>Materiales planificados con Salida Cero: BULBO DE MARCHA ATRAS/ARRANQUE/P.MUERTO MB ATEGO 1725 (A 002 545 02 09) ORIGINAL, EXTREMO DE CAJA DE CAMBIO MECANICO (PARA ADAPTAR) - PORPORA, BALDE GRASA LUBRIGON X 20 KG</t>
  </si>
  <si>
    <t>AE700VN</t>
  </si>
  <si>
    <t>AXOR 2036</t>
  </si>
  <si>
    <t>Cambiar faros traseros</t>
  </si>
  <si>
    <t>Materiales planificados con Salida Cero: FARO COLGANTE SIMPLE 1035/6, PORTA FUSIBLE AEREO - ORO (1057), CABLE TERMOCONTRAIBLE DE 3MM (PARA CABLE DE 1.5MM) X ROLLO, FARO TRASERO COMPLETO IZQ MB 710 (A 688 544 77 03) - FITAM (68032), LAMPARA 24V 5W (S/CULOTE) - NEOLUX, FUSIBLE 10 AMP - GENROD, TERMINAL OJAL DE 6MM, TORNILLO PUNTA MECHA CABEZA HEXAGONAL 5/16 X 1" X UN, INDICADOR DE TORQUE RUEDA/ CHECKPOINT DE 32 MM, BALDE GRASA LUBRIGON X 20 KG</t>
  </si>
  <si>
    <t>AG095MQ</t>
  </si>
  <si>
    <t>Colocar Barra Estabilizadora</t>
  </si>
  <si>
    <t>2) Desconexión de material (Falta 'BARRA ESTABILIZADORA')</t>
  </si>
  <si>
    <t>AD426HW</t>
  </si>
  <si>
    <t>Materiales cargados no coinciden: LAMPARA 24V 21W - HELLA, MICA FARO TRASERO MB 2541 (A 002 544 73 90) - FITAM, AZUL 32 UREA x 1000LTS, LAMPARA 24V 5W (C/CULOTE), LAMPARA 24V 21/5W, FILTRO DE HABITACULO MB AXOR 2036 - MANN CU 4469</t>
  </si>
  <si>
    <t>Cambio Escobillas Limpiaparabrisas</t>
  </si>
  <si>
    <t>Materiales planificados con Salida Cero: TUERCA HEXAGONAL DE 1/4" PASO 1.25 DUREZA 8.8 MATERIAL ACERO ZINCADO, TORNILLO PUNTA DE MECHA (3/8 -14X1") X UN, ARANDELAS PLANAS DE 8MM, RIENDA DE PUERTA MB 1215 - RGL, ESCOBILLA LIMPIA PARABRISAS 24" - BOSCH (B172), BULÓN HEXAGONAL 1/4" X 20 MM PASO 1.25 DUREZA 8.8 MATERIAL ACERO ZINCADO</t>
  </si>
  <si>
    <t>Cambiar Rienda De Puerta Der</t>
  </si>
  <si>
    <t>Cambiar Extremos de selectora Cambios</t>
  </si>
  <si>
    <t>Materiales planificados con Salida Cero: LLAVE CORTA CORRIENTE - NOSSO SPB, EXTREMO DE PALANCA DE CAMBIOS HEMBRA IZQ (A 001 996 31 45) ORIGINAL, ACEITE 15W40 XV300 X 205LT (TAMBOR), CAÑO CORRUGADO ABIERTO 38X 50MM X MT, CABLE TERMOCONTRAIBLE DE 3MM (PARA CABLE DE 1.5MM) X ROLLO, EXTREMO DE PALANCA DE CAMBIOS HEMBRA DER (A 000 996 55 45) ORIGINAL, ESTRIBO IZQ MB 1933 (A 940 660 03 01) ORIGINAL</t>
  </si>
  <si>
    <t>Cambiar Borne De Bateria Negativo</t>
  </si>
  <si>
    <t>Materiales planificados con Salida Cero: BORNE NEGATIVO (N 072332 011200) - BAUD, ELECTRODO PUNTA AZUL 3.25MM X KG - CONARCO, ELECTRODO PUNTA AZUL 2.5MM X KG - CONARCO</t>
  </si>
  <si>
    <t>Materiales planificados con Salida Cero: PERILLA DE CALEFACCION MB 1624 (OMP:1) -  RESERPLASTIC, REPARACION MOTOR DE CALEFACCION 24V (ART. REPARADO)</t>
  </si>
  <si>
    <t>Coloco Perillas De Calefaccion</t>
  </si>
  <si>
    <t>Se Colocó Portadocumento Nuevo</t>
  </si>
  <si>
    <t>2) Desconexión de material (Falta 'PORTADOCUMENTOS')</t>
  </si>
  <si>
    <t>Materiales cargados no coinciden: LAMPARA 24V 5W (C/CULOTE) - NEOLUX</t>
  </si>
  <si>
    <t>AF088ED</t>
  </si>
  <si>
    <t>ATEGO 1726</t>
  </si>
  <si>
    <t>Cambiar motor de arranque Scania</t>
  </si>
  <si>
    <t>Reparar y colocar motor de arranque</t>
  </si>
  <si>
    <t>AB029TN</t>
  </si>
  <si>
    <t>ACCELO 815</t>
  </si>
  <si>
    <t>Materiales cargados no coinciden: PORTA LAMPARA PARA FARO COLGANTE DOBLE/SIMPLE 1035/6 (AMBAR/AMBAR) SIN CABLE - BAIML, LAMPARA H7 24V - HELLA, LAMPARA 24V 5W (S/CULOTE) - NEOLUX</t>
  </si>
  <si>
    <t>Colocar Manguera de Agua de Tapa de Compresor a Base Termostato</t>
  </si>
  <si>
    <t>Cambio Soporte de Caja Lado Izq</t>
  </si>
  <si>
    <t>Cambiar Tapa De Tanque Gas Oil</t>
  </si>
  <si>
    <t>Materiales planificados con Salida Cero: TAPA DE GASOIL MB UNIVERSAL (TV-4080) - TRINK, AMORTIGUADOR EJE TRASERO IZQ/DER MB ACCELO 915C  - (A 979 326 03 00) - SACHS (315 705 009)</t>
  </si>
  <si>
    <t>Cambiar Amortiguadores Traseros Der</t>
  </si>
  <si>
    <t>Cambiar Lamparas 24V 5W Varias</t>
  </si>
  <si>
    <t>Cambiar Electrovalvula (Eje Neumatico)</t>
  </si>
  <si>
    <t>Colocar Vidrio de Espejo Inferior Izquierdo</t>
  </si>
  <si>
    <t>Materiales planificados con Salida Cero: ESPEJO IZQ MB AXOR 1933 (A 002 810 16 16) - (SP 1601)</t>
  </si>
  <si>
    <t>CVF923</t>
  </si>
  <si>
    <t>712</t>
  </si>
  <si>
    <t>Materiales cargados no coinciden: PRECINTOS GRETEL 200X3,6MM X 100 UNI, LIQUIDO REFRIGERANTE KRIOX INORGANICO X 1000LTS, PRECINTOS DUROLL 400X4,8MM X 100 UNI, LAMPARA 24V 1.2W S/CULOTE, REMACHE POP ALUMINIO DE 5MM DIAMETRO X 20MM LARGO, PRECINTOS DUROLL 400X4,8MM X 100 UNI, LIQUIDO REFRIGERANTE KRIOX INORGANICO X 1000LTS, LAMPARA H1 24V  - OSRAM, LAMPARA 24V 5W (C/CULOTE) - NEOLUX, ACEITE 15W40 XV300 X 205LT (TAMBOR), TORNILLO FIX 4.5 X 25, FARO DOBLE IZQ MB 1620/1634 (A 694 760 71 59) - VIC (897I), LAMPARA 24V 1.2W S/CULOTE, FARO LED BAIML 1035 COLOR CRISTAL, BULÓN HEXAGONAL 1/4" X 20 MM PASO 1.25 DUREZA 8.8 MATERIAL ACERO ZINCADO, ARANDELA BISELADA 6MM, TUERCA HEXAGONAL DE 1/4" PASO 1.25 DUREZA 8.8 MATERIAL ACERO ZINCADO, FUELLE PALANCA DE CAMBIOS MB 1620/1624 (A 688 267 70 96) - ALTERNATIVO, ABRAZADERA (12MM) 23-35MM x UN, CALEFACTOR RADIADOR DE AGUA MB 1634 (A 007 830 32 61) - ORIGINAL, MANGUERA DE AGUA A RADIADOR DE CALEFACION MB 1720 IZQUIERDO - (A 693 832 71 23) ORIGINAL, MEDIDOR DE COMBUSTIBLE MB 1215/1620/1634/1218/1318/1622/914/915/1418 (A 003 542 28 03) ORIGINAL, REPARACION MOTOR DE CALEFACCION 24V (ART. REPARADO), ESPIGA DE BRONCE DOBLE BOCA DE 15.5MM UNIVERSAL, MANGUERA DE AGUA A RADIADOR DE CALEFACION MB 1720 DERECHO - (A 693 832 70 23) ORIGINAL, LAMPARA 24V 21W - OSRAM, MEDIDOR DE COMBUSTIBLE MB 1215/1620/1634/1218/1318/1622/914/915/1418 (A 003 542 28 03) ORIGINAL, ABRAZADERA PERFECTO (12MM) 12-22MM x UN</t>
  </si>
  <si>
    <t>Cambio Barril Aceite En Taller</t>
  </si>
  <si>
    <t>Cambiar Manguera De Vigia Rueda Del Der</t>
  </si>
  <si>
    <t>Materiales cargados no coinciden: CUBIERTA LINEAL 295 R22.5 - FATE, ARANDELAS PLANAS DE 8MM, MANGUERA DE INFLADO (HEMBRA-HEMBRA) NTH 5/16 - 17.94X5.94MM - VIGIA (0F 01133129), CAÑO POLIAMIDA TECALAN DE 12MM X MTS, BOMBA DE DIRECCION HIDRAULICA MB 1933 (A 457 460 02 80), MANGUERA ESPIRAL 7,5 MTS (PUNTERA AZUL) MB 2035 - EDC, REPARACION DE COMPRESOR DE AIRE TAPA LARGA (ART. REPARADO), LIQUIDO REFRIGERANTE 50/50 X 1000LTS, ABRAZADERA (12MM) 23-35MM x UN, HIDRO ATF B 20 (125480), FILTRO DE DIRECCION HIDRAULICA MB 1114/1318/1620/1634/1720/710/712/914</t>
  </si>
  <si>
    <t>Cambiar Manguera Bajada De Vigia Delantera</t>
  </si>
  <si>
    <t>2) Desconexión de material (Falta 'BAJADA DE VIGIA')</t>
  </si>
  <si>
    <t>KUF605</t>
  </si>
  <si>
    <t>1634</t>
  </si>
  <si>
    <t>Cambiar Fusible 15 Amp</t>
  </si>
  <si>
    <t>Cambiar Ficha de Triller Ambas</t>
  </si>
  <si>
    <t>Materiales planificados con Salida Cero: FICHA HEMBRA TRAILER 7 PINES 12/24V (PINES) - DNI (8313), FICHA MACHO 12V 7 VIAS METAL - DNI, PRECINTOS GRETEL 200X3,6MM X 100 UNI</t>
  </si>
  <si>
    <t>LFK337</t>
  </si>
  <si>
    <t>Cambiar ficha de sensor valvula 4 vias</t>
  </si>
  <si>
    <t>2) Desconexión de material (Falta 'MEDIDOR')</t>
  </si>
  <si>
    <t>Materiales cargados no coinciden: ACOPLE RAPIDO RECTO DE 1/2", ACOPLE RAPIDO TE DE 12MM, FICHA 4 VIAS PARA BULBO DE VALVULA PROTECTORA MB 2035 - EDC, BULBO DE VÁLVULA GOBERNADORA 4 VIAS MB 2035 (A 979 542 03 18), LAMPARA 24V 21/5W</t>
  </si>
  <si>
    <t>Cambiar Acople Vigia</t>
  </si>
  <si>
    <t>Materiales cargados no coinciden: REPARACION DE ARRANQUE 24V (Art. Reparado)</t>
  </si>
  <si>
    <t>Materiales cargados no coinciden: TAPA DE GASOIL MB UNIVERSAL (TV-4080) - TRINK</t>
  </si>
  <si>
    <t>Cambiar Filtro De Aceite Motor</t>
  </si>
  <si>
    <t>Cambiar Portalampara H1</t>
  </si>
  <si>
    <t>Materiales planificados con Salida Cero: LAMPARA 24V 5W (C/CULOTE) - NEOLUX, LAMPARA 24V 5W (S/CULOTE) - NEOLUX</t>
  </si>
  <si>
    <t>Extraer Y Cambiar Motor de Arranque</t>
  </si>
  <si>
    <t>Cambiar Centro De Elastico</t>
  </si>
  <si>
    <t>Cambiar Cubierta BDI - 1/2 Uso Armado Y Desarmado</t>
  </si>
  <si>
    <t>Materiales planificados con Salida Cero: BALDE GRASA LUBRIGON X 20 KG</t>
  </si>
  <si>
    <t>Materiales planificados con Salida Cero: BULON PARA BUJE DE BALANCIN 25MMX 150MM X UNIDAD, BUJE DE BALANCIN (D:25MM - L:79MM)</t>
  </si>
  <si>
    <t>AD267VH</t>
  </si>
  <si>
    <t>FORD CARGO 1519-48</t>
  </si>
  <si>
    <t>Cambiar codo de admision del turbo</t>
  </si>
  <si>
    <t>2) Desconexión de material (Falta 'MANGUERA', 'BULBO')</t>
  </si>
  <si>
    <t>Materiales cargados no coinciden: FILTRO DE AIRE FORD CARGO 1519/48 - WIX WA 10529, CODO DE ENTREDA DE TOMA DE AIRE FORD CARGO 1519/48 - RESERPLASTIC (001222)</t>
  </si>
  <si>
    <t>AG079GB</t>
  </si>
  <si>
    <t>Cambiar Vejiga Alfajor Eje Numatico</t>
  </si>
  <si>
    <t>Materiales cargados no coinciden: FUELLE DE SUSPENSION BILOBULAR (K415) CON PLATINAS (T188S-1) Y TORNILLOS - PLUSGOM</t>
  </si>
  <si>
    <t>AD367QB</t>
  </si>
  <si>
    <t>Cambiar Cubierta 3IE 1/2 Uso Armado Y Desarmado</t>
  </si>
  <si>
    <t>OJG099</t>
  </si>
  <si>
    <t>DLW395</t>
  </si>
  <si>
    <t>1215</t>
  </si>
  <si>
    <t>Materiales planificados con Salida Cero: LAMPARA 24V 21W - HELLA, RODAMIENTO MB AXOR 2036 ROBUST S - FAG (6304-2RSR C3), ARANDELA DE ALUMINIO 12MM, BULON 10x40 PASO 1,5 (DUREZA 8,8), ARANDELA PLANA 3/8, TUERCA DE 10MM PASO 1,5 (DUREZA 8,8), LACA CON CATALIZADOR DOS COMPONENTES X 1LTS - SIKKENS, ACEITE 80W X 205LTS, CORREA 8PK 1420</t>
  </si>
  <si>
    <t>Cambio Faro Ambar Der</t>
  </si>
  <si>
    <t>2) Desconexión de material (Falta 'FUELLE')</t>
  </si>
  <si>
    <t>Cambiar Deposito Liquido Refrigerante</t>
  </si>
  <si>
    <t>Cambiar ruedas</t>
  </si>
  <si>
    <t>AG043HA</t>
  </si>
  <si>
    <t>Cambiar Cortacorriente</t>
  </si>
  <si>
    <t>Cambiar Difusor De Urea</t>
  </si>
  <si>
    <t>Materiales planificados con Salida Cero: VALVULA DOSIFICADORA DE UREA ATEGO 1729  (A 000 140 41 39) - ORIGINAL, LAMPARA 24V C5W - NEOLUX, PRECINTOS GRETEL 200X3,6MM X 100 UNI, PRECINTOS DUROLL 400X4,8MM X 100 UNI, CAÑO CORRUGADO ABIERTO 7-10MM x MT</t>
  </si>
  <si>
    <t>Cambiar Bateria 12V Equipo De Frio (Reacondicionadas)</t>
  </si>
  <si>
    <t>Cambiar Valvula Pedalera De Freno</t>
  </si>
  <si>
    <t>Materiales planificados con Salida Cero: REPARACION DE VALVULA PEDALERA MB 1933/1725 (ART. REPARADO), ACEITE 15W40 XV300 X 205LT (TAMBOR), LIQUIDO REFRIGERANTE KRIOX INORGANICO X 1000LTS</t>
  </si>
  <si>
    <t>Cambiar Barreros</t>
  </si>
  <si>
    <t>Materiales planificados con Salida Cero: BARRERO LISO DE 63CM X 33CM</t>
  </si>
  <si>
    <t>Materiales planificados con Salida Cero: FILTRO DE AIRE - MANN C27902</t>
  </si>
  <si>
    <t>HUY047</t>
  </si>
  <si>
    <t>AG176NB</t>
  </si>
  <si>
    <t>Materiales cargados no coinciden: FILTRO DE ACEITE IVECO TECTOR (500041216) - NEXPRO, ACEITE 15W40 XV300 X 205LT (TAMBOR)</t>
  </si>
  <si>
    <t>AF148MS</t>
  </si>
  <si>
    <t>Materiales cargados no coinciden: LAMPARA H7 24V  - NEOLUX, ESCOBILLA LIMPIA PARABRISAS 26" (650MM) - BOSCH (B162), ACEITE 15W40 XV300 X 205LT (TAMBOR), MANGUERA POLIAMIDA 1/4" - VIGIA (X9201.A024-7)</t>
  </si>
  <si>
    <t>AG300AQ</t>
  </si>
  <si>
    <t>ACTROS 2045</t>
  </si>
  <si>
    <t>Materiales planificados con Salida Cero: FILTRO DE ACEITE MB AXOR 2036/2035 - MANN HU 12 110X, ACEITE 15W40 XV300 X 205LT (TAMBOR)</t>
  </si>
  <si>
    <t>AF619YP</t>
  </si>
  <si>
    <t>PARTNER CONFORT 1.6 HDI 92 AM22 -FURGON-</t>
  </si>
  <si>
    <t>Cambiar Lampara de 12V 21/5W</t>
  </si>
  <si>
    <t>Materiales planificados con Salida Cero: LAMPARA 12V 21W/5W (DOS POLOS) - OSRAM</t>
  </si>
  <si>
    <t>Cambiar Cubiertas Tras. Motriz Der TDE-TDI Desarme y Arme Recapado</t>
  </si>
  <si>
    <t>Cambiar Cubiertas Del. DI Desarme y Arme</t>
  </si>
  <si>
    <t>Cambiar Amortiguadores Traseros Izq</t>
  </si>
  <si>
    <t>AG255NF</t>
  </si>
  <si>
    <t>Colocar Gancho De Puerta Semi</t>
  </si>
  <si>
    <t>Materiales planificados con Salida Cero: BATERIA 12V 75A, CUBIERTA DE LUCES INTERMITENTES DER MB ATEGO 1725 (A 958 884 05 22) - ORIGINAL, MICA LUCES INTERMITENTES IZQ MB ATEGO 1725 (A 958 884 04 22) ORIGINAL, TORNILLO HEXAGONAL MECHA POR CAJA 14x22 MM, BULON HEXAGONAL 6X15MM X UN</t>
  </si>
  <si>
    <t>Cambiar Bateria 12V Equipo De Frio</t>
  </si>
  <si>
    <t>CAMBIO PROT/BLANCO DE LUCES INTERMITENTES DER/IZQ</t>
  </si>
  <si>
    <t>Cambiar Medidor De Tanque De Combustible</t>
  </si>
  <si>
    <t>JCF735</t>
  </si>
  <si>
    <t>Materiales cargados no coinciden: LAMPARA H1 24V, FARO DOBLE IZQ MB 1620/1634 (A 694 760 71 59) - VIC (897I), ACEITE 15W40 XV300 X 205LT (TAMBOR), FARO DOBLE DER MB 1620/1634 (A 694 820 81 61) - VIC (897D)</t>
  </si>
  <si>
    <t>Colocar Embrague (Placa, Disco y Volante Nuevos)</t>
  </si>
  <si>
    <t>Materiales planificados con Salida Cero: VOLANTE DE EMBRAGUE SCANIA G310 (1776466) - CINPAL, READECUACION DE DISCO DE EMBRAGUE SCANIA G310 (Art. Reparado)</t>
  </si>
  <si>
    <t>Ayudar en Pañol a Colocar Ubicaciones</t>
  </si>
  <si>
    <t>Colocar Membrana liquida al Techo</t>
  </si>
  <si>
    <t>Colocar butaca conductor Reparada</t>
  </si>
  <si>
    <t>Limpio Laterales de interior de Semi para Colocar Silicona</t>
  </si>
  <si>
    <t>2) Desconexión de material (Falta 'SILICONA')</t>
  </si>
  <si>
    <t>Materiales planificados con Salida Cero: LAMPARA 12V 21W/5W (DOS POLOS)</t>
  </si>
  <si>
    <t>KAV644</t>
  </si>
  <si>
    <t>Retirar Aceite Por Cambio De Tapon De Carter</t>
  </si>
  <si>
    <t>Materiales cargados no coinciden: TAPON DE CARTER 24MM, JUNTA DE CARTER (OM 926) MB AXOR 1933 (A 926 014 02 22) - ORIGINAL, ARANDELA ALUMINIO 24MM, SIKAFLEX 221 x 600ml (SALCHICHA)</t>
  </si>
  <si>
    <t>Cambiar Cinta Frenos 3Eje Lado Der</t>
  </si>
  <si>
    <t>Materiales planificados con Salida Cero: LAMPARA H7 24V, LAMPARA 24V 5W (S/CULOTE) - NEOLUX</t>
  </si>
  <si>
    <t>IDX164</t>
  </si>
  <si>
    <t>Cambiar Mini Relay</t>
  </si>
  <si>
    <t>Materiales planificados con Salida Cero: MINI RELAY 24V 5 PATAS</t>
  </si>
  <si>
    <t>Cambiar Electro Valvula Levanta Eje</t>
  </si>
  <si>
    <t>Cambiar Rueda Completa C/Llanta Delantera Der</t>
  </si>
  <si>
    <t>Cambiar Cubierta Eje Balancin BDE, Desarme y Arme</t>
  </si>
  <si>
    <t>2) Desconexión de material (Falta 'BALANCIN')</t>
  </si>
  <si>
    <t>Materiales cargados no coinciden: LAMPARA 24V 5W (S/CULOTE) - OSRAM, AMORTIGUADOR DE CABINA DELANTERO AXOR 2541 (A 940 890 49 19) - ORIGINAL, ACOPLE RAPIDO CODO DE 6MM CON ROSCA MACHO 1/2, ESCOBILLA LIMPIA PARABRISAS 24" - BOSCH (B172), LAMPARA 24V PY21W, CUBIERTA TACO 295 R22.5 - FATE, REMACHE POP ALUMINIO DE 5MM DIAMETRO X 20MM LARGO, ARANDELA 3/16" ZINCADA X UN, PASTILLAS DE FRENO - FRASLE (PD116/PD1749 FF), PERILLA DE CALEFACCION MB 1624 (OMP:1) -  RESERPLASTIC</t>
  </si>
  <si>
    <t>Cambiar lampara 3w 24v</t>
  </si>
  <si>
    <t>Materiales planificados con Salida Cero: LAMPARA 24V 5W (S/CULOTE) - NEOLUX, CONSOLA DELANTERA DERECHA DE ESTRIBO MB 1933 (A 940 666 02 31) - ORIGINAL, CONSOLA TRASERA DERECHA DE ESTRIBO MB 1933 (A 940 666 05 31) - ORIGINAL, ESTRIBO (PEDANA) INFERIOR DER MB AXOR 2035 (A 940 666 04 28) ORIGINAL, PEDANA DE ESTRIBO SUPERIOR DER MB 1933 (A 940 666 03 28) - ORIGINAL, SOPORTE DE ESTRIBO DER MB 1933 (A 940 660 19 30) - ORIGINAL, ESTRIBO DER MB 1933 (A 940 666 09 01) - BONFANTI</t>
  </si>
  <si>
    <t>Aislar y Colocar Corrugado a Intalacion de ECU</t>
  </si>
  <si>
    <t>Cambiar Pata De Caja Izq</t>
  </si>
  <si>
    <t>OIC418</t>
  </si>
  <si>
    <t>Cambiar Faros Laterales</t>
  </si>
  <si>
    <t>Materiales cargados no coinciden: LAMPARA 24V 5W (C/CULOTE) - NEOLUX, REPARACION MOTOR DE CALEFACCION 24V (ART. REPARADO), CUBIERTA LINEAL 275 R22.5 - EVERGREEN, TORNILLO PUNTA MECHA CABEZA HEXAGONAL 5/16 X 1" X UN, TIRANTE DE SUJECION DE ESPEJO RETROVISOR MB 1624 (A 694 810 00 37) ORIGINAL, FARO LED BAIML 1035 COLOR ROJO, FARO DE GALIBO TECHO SUPERIOR IZQ MB 710 (A 688 820 72 56) - FITAM</t>
  </si>
  <si>
    <t>Cambiar Hebilla y Cinturon De Seguridad</t>
  </si>
  <si>
    <t>2) Desconexión de material (Falta 'HEBILLA DE CINTURON')</t>
  </si>
  <si>
    <t>Materiales cargados no coinciden: TUERCA HEXAGONAL DE 1/4" PASO 1.25 DUREZA 8.8 MATERIAL ACERO ZINCADO, LIQUIDO REFRIGERANTE KRIOX INORGANICO X 1000LTS, LAMPARA 24V 21W - OSRAM, ACEITE 15W40 XV300 X 205LT (TAMBOR), BULÓN HEXAGONAL 1/4" X 20 MM PASO 1.25 DUREZA 8.8 MATERIAL ACERO ZINCADO, LAMPARA 24V 5W (S/CULOTE) - NEOLUX, CINTOS DE LONA CECCONI ART.-02040027, BALDE GRASA LUBRIGON X 20 KG, HEBILLA COMPLETA - LONA, CRUCETA DE CARDAN MB 1620 (D:41.3 L:126MM) (A 000 410 39 31) - ETMA (STR1-183), LAMPARA 24V 5W (S/CULOTE) - NEOLUX</t>
  </si>
  <si>
    <t>AD367QC</t>
  </si>
  <si>
    <t>Materiales planificados con Salida Cero: MICA BAIML 1035 COLOR AMBAR (LED)</t>
  </si>
  <si>
    <t>Cambio De Aceite De Motor</t>
  </si>
  <si>
    <t>BJH275</t>
  </si>
  <si>
    <t>Cambiar Vejiga Levanta Eje Der con Reforma por No Tener Respuesto</t>
  </si>
  <si>
    <t>Cambiar Cubiertas Del. DD Desarme y Arme</t>
  </si>
  <si>
    <t>Cambiar Amortiguadores de Cabina Trasero Der</t>
  </si>
  <si>
    <t>AF746EM</t>
  </si>
  <si>
    <t>170E30TLA22 EBS</t>
  </si>
  <si>
    <t>2) Desconexión de material (Falta 'RUEDA', 'VIGIA')</t>
  </si>
  <si>
    <t>Materiales cargados no coinciden: CONECTOR BOMBA DE AGUA 904/906 MB 1624/1725 (A 936 203 33 36) ORIGINAL, SILOC FORMADOR DE JUNTA 8600 X 98GR, LIJA EN SECO GR80, FICHA MACHO TRAILER 7 PINES 12/24V (AGUJEROS) - DNI (8312), JUNTA DE BOMBA DE AGUA TERMOSTATO (OM904/906) MB 1933/ATEGO 1725 (A 906 203 01 80) - PAMPA (015534AG, LAMPARA 24V 1.2W (C/CULOTE) PARA TABLERO, CORREA 8PK 1380 - CONTINENTAL, TAPA DE COMPRESOR 85MM (C/TUBO) MB O500/1624 (OM906) (A 001 130 79 15) - WABCO (4111540022), LAMPARA 24V 5W (S/CULOTE) - NEOLUX, LIQUIDO REFRIGERANTE KRIOX INORGANICO X 1000LTS, JUNTA DE BOMBA DE AGUA TERMOSTATO (OM904/906) MB 1933/ATEGO 1725 (A 906 203 01 80) - PAMPA (015534AG, CAÑO POLIAMIDA TECALAN DE 6MM X MTS, BOMBA DE AGUA ELEC MB 1624/1720/1418/1318/1725 (A 904 200 25 01) - VETORE (VBD904)</t>
  </si>
  <si>
    <t>2) Desconexión de material (Falta 'ROTOR', 'VIGIA')</t>
  </si>
  <si>
    <t>OZH811</t>
  </si>
  <si>
    <t>Materiales planificados con Salida Cero: LAMPARA H7 24V</t>
  </si>
  <si>
    <t>Coloco Brazo Completo De Espejo</t>
  </si>
  <si>
    <t>Materiales planificados con Salida Cero: LAMPARA CREE LED H7 24V - OSRAM</t>
  </si>
  <si>
    <t>Materiales planificados con Salida Cero: FILTRO DE ACEITE IVECO TECTOR (500058314) - NEXPRO</t>
  </si>
  <si>
    <t>Colocar vejiga Eje Neumatico deTrabajo Lado Der</t>
  </si>
  <si>
    <t>Cambiar Bajada De Vigia Ldo Derecho</t>
  </si>
  <si>
    <t>Materiales cargados no coinciden: ARANDELA PARA BULON DE TAPA DE VALVULAS OM 904/906 (A906 016 00 80), ACEITE 15W40 XV300 X 205LT (TAMBOR), DESENGRASANTE TRANSNET C SUPER 26K (9503), JUNTA DE TAPA DE VALVULAS (OM 926) MB AXOR 1933 (A 000 016 05 21) - ELRING, DIAFRAGMA DE TAPA DE VALVULAS MB ELECTRONICO (A 000 018 01 33) ORIGINAL, SENSOR DE PRESION DE ACEITE MB AXOR 1933 (A 011 153 92 28) ORIGINAL</t>
  </si>
  <si>
    <t>OHH593</t>
  </si>
  <si>
    <t>Materiales planificados con Salida Cero: LAMPARA 24V 21W - NEOLUX, BUJE PALANCA DE CAMBIO ATEGO (A 970 268 40 50) - MIC, BALDE GRASA LUBRIGON X 20 KG</t>
  </si>
  <si>
    <t>Materiales planificados con Salida Cero: LAMPARA 24V 5W (C/CULOTE) - NEOLUX, FUSIBLE 10 AMP</t>
  </si>
  <si>
    <t>Materiales cargados no coinciden: LAMPARA 24V 5W (C/CULOTE) - NEOLUX, MANIJA ALZA CRISTALES MB 1720/1620/1634/1318 (A 688 760 70 02) - RGL (2146G), TORNILLO FIX PARA MADERA 6X40, TORNILLO PUNTA DE MECHA 8 x 3/4, PORTA LAMPARA PARA FARO COLGANTE DOBLE/SIMPLE 1035/6 (AMBAR/AMBAR) SIN CABLE - BAIML, COLIZA IZQ AXOR/ATEGO (A 958 722 00 25) - LISGOM, MAQUINA ALZA CRISTALES DER MB 1318/1624/1620/1720 (A 688 720 76 46) - RGL (56611D), BALDE GRASA LUBRIGON X 20 KG, CINTA DE TELA SUJETA CABLES 19MM X ROLLO, ACEITE 15W40 XV300 X 205LT (TAMBOR), TORNILLO PUNTA MECHA CABEZA HEXAGONAL 5/16 X 1" X UN</t>
  </si>
  <si>
    <t>Cambio Arandela De Tapa Compresor</t>
  </si>
  <si>
    <t>2) Desconexión de material (Falta 'COMPRESOR')</t>
  </si>
  <si>
    <t>Materiales cargados no coinciden: FUSIBLE 10 AMP - GENROD, ARANDELA ALUMINIO 14MM, LIQUIDO REFRIGERANTE KRIOX INORGANICO X 1000LTS, GRASA 62 X 20 KG, PRECINTOS 400X7,2MM X 100 UNI - BREMEN, FAROS LE FM181, FARO - (FM181) - 12714/D - TYC, LAMPARA H7 24V - HELLA, FUSIBLE 10 AMP - GENROD</t>
  </si>
  <si>
    <t>Coloco Cubierta Usada TDE  - Armado y Desarmado</t>
  </si>
  <si>
    <t>2) Desconexión de material (Falta 'NEUMATICO', 'LONA', 'CHAPA')</t>
  </si>
  <si>
    <t>Materiales cargados no coinciden: TORNILLO FIX 4.5 X 25</t>
  </si>
  <si>
    <t>AF672EU</t>
  </si>
  <si>
    <t>Cambiar Lampara de Posicion Delantera Izq</t>
  </si>
  <si>
    <t>Materiales cargados no coinciden: SIKAFLEX 221 x 600ml (SALCHICHA)</t>
  </si>
  <si>
    <t>Materiales planificados con Salida Cero: FILTRO DE AIRE SCANIA G310 - MANN C 31 017</t>
  </si>
  <si>
    <t>Materiales cargados no coinciden: FARO DOBLE DER MB 1620/1634 (A 694 820 81 61) - VIC (897D), LAMPARA H1 24V, TAPA DE GASOIL MB UNIVERSAL (TV-4080) - TRINK, LAMPARA 24V 5W (S/CULOTE) - OSRAM, LAMPARA 24V 5W (C/CULOTE) - NEOLUX, PORTALAMPARA H1 MB (VA-1288), LAMPARA 24V 21W - NEOLUX, ACEITE 15W40 XV300 X 205LT (TAMBOR), TAPA DE DEPOSITO DE COMBUSTIBLE MB 1632 (A 386 470 72 05) - UNK</t>
  </si>
  <si>
    <t>Cambio De Faro Led Baiml 1010E Ambar</t>
  </si>
  <si>
    <t>Cambiar Rueda Completa C/Llanta Delantera Izq</t>
  </si>
  <si>
    <t>Colocar Bileta lado Derecho</t>
  </si>
  <si>
    <t>2) Desconexión de material (Falta 'BILLERA', 'BARRA DE DIRECCION')</t>
  </si>
  <si>
    <t>Colocar Buje Barra Estabilizadora</t>
  </si>
  <si>
    <t>2) Desconexión de material (Falta 'BUJE', 'BARRA ESTABILIZADORA')</t>
  </si>
  <si>
    <t>Cambiar Rodillo Patin Freno</t>
  </si>
  <si>
    <t>Cambiar Gatillo De Alta Y Baja Palanca De Cambios</t>
  </si>
  <si>
    <t>2) Desconexión de material (Falta 'BOCHA', 'EXTREMO')</t>
  </si>
  <si>
    <t>Materiales cargados no coinciden: POMO ALTA Y BAJA (A 941 540 05 45) - FEBI, ACEITE 15W40 XV300 X 205LT (TAMBOR), BATERIA 12V 180A - MOURA</t>
  </si>
  <si>
    <t>Cambio Fichas de Luces</t>
  </si>
  <si>
    <t>Colocar Tornillo Pasante a Caño Compresor</t>
  </si>
  <si>
    <t>Cambiar Estribo/Escalera Izq</t>
  </si>
  <si>
    <t>Cambiar Manguera Inferior De Radiador</t>
  </si>
  <si>
    <t>Cambiar Pata de Motor Delantera Izq</t>
  </si>
  <si>
    <t>Cambiar Lamparas de Luz de Pecho</t>
  </si>
  <si>
    <t>Materiales cargados no coinciden: CUBIERTA LINEAL 275 R22.5 - EVERGREEN, LAMPARA 24V 5W (S/CULOTE) - NEOLUX, LIQUIDO REFRIGERANTE KRIOX INORGANICO X 1000LTS</t>
  </si>
  <si>
    <t>Materiales planificados con Salida Cero: LAMPARA H7 24V - NEOLUX</t>
  </si>
  <si>
    <t>Cambiar lampara h3 24v</t>
  </si>
  <si>
    <t>Materiales planificados con Salida Cero: LAMPARA H3 24V</t>
  </si>
  <si>
    <t>IBB075</t>
  </si>
  <si>
    <t>Materiales cargados no coinciden: CUBIERTA LINEAL 295 R22.5 - FATE, RECAPADO NEUMATICO 295</t>
  </si>
  <si>
    <t>Cambiar Porta Lampara Lateral</t>
  </si>
  <si>
    <t>Materiales planificados con Salida Cero: FILTRO DE COMBUSTIBLE MANN PU999/1X, FILTRO TRAMPA DE AGUA MB 1933S (A 000 470 24 90) - RE160JQII - MARCA RAMA</t>
  </si>
  <si>
    <t>Materiales planificados con Salida Cero: FILTRO DE AIRE - MANN C 271320/1</t>
  </si>
  <si>
    <t>Cambiar Caño llenado de Aceite</t>
  </si>
  <si>
    <t>Cambiar Caño compresor</t>
  </si>
  <si>
    <t>Materiales cargados no coinciden: ARANDELA ALUMINIO 14MM, PRECINTOS 400X7,2MM X 100 UNI - RODA, ACEITE 15W40 XV300 X 205LT (TAMBOR), LIQUIDO REFRIGERANTE 50/50 X 1000LTS</t>
  </si>
  <si>
    <t>Cambiar Automatico De Arranque</t>
  </si>
  <si>
    <t>2) Desconexión de material (Falta 'MOTOR DE ARRANQUE')</t>
  </si>
  <si>
    <t>Cambiar Relay Luz Baja</t>
  </si>
  <si>
    <t>Materiales cargados no coinciden: CABLE TERMOCONTRAIBLE DE 3MM (PARA CABLE DE 1.5MM) X ROLLO, PORTALAMPARA 5W 24V (SIN CABLES), LAMPARA 12V 5W (S/CULOTE), LIQUIDO P/FRENOS C12/1000 (CAJA 12 x 1LT), LAMPARA 12V 21W UN POLO, FLEXIBLE DE EMBRAGUE (REFORMO) MB 1620 (A 695 290 70 14) - ORIGINAL, RELAY 5 PATAS 12V - DNI</t>
  </si>
  <si>
    <t>Revisión de Cuenta Vuelta para Cambio</t>
  </si>
  <si>
    <t>2) Desconexión de material (Falta 'BURLETE DE PUERTA')</t>
  </si>
  <si>
    <t>Materiales planificados con Salida Cero: FUSIBLE 15 AMP - GENROD</t>
  </si>
  <si>
    <t>AF642OS</t>
  </si>
  <si>
    <t>Materiales cargados no coinciden: FUSIBLE 15 AMP - GENROD, BULON 5/16x1, BUJE DE TEFLON PARA BARRAL DE 25MM ASTPRA (ASP 15.03.68), LAMPARA 24V 21W - OSRAM, FARO IZQ MB ATEGO (A 973 820 03 61) - FITAM (68068I), LAMPARA 24V PY21W, TECLA LEVANTA VIDRIOS DER MB ATEGO 1725 (A 004 545 03 13) - ORIGINAL</t>
  </si>
  <si>
    <t>Materiales planificados con Salida Cero: LLAVE CORTA CORRIENTE - NOSSO SPB, BULON HEXAGONAL 6X15MM X UN, BULON HEXAGONAL 6X25MM X UN, LIQUIDO REFRIGERANTE KRIOX INORGANICO X 1000LTS, TUERCA DE 6MM, ARANDELA BISELADA 6MM, INDICADOR DE TORQUE RUEDA/ CHECKPOINT DE 32 MM, BALDE GRASA LUBRIGON X 20 KG</t>
  </si>
  <si>
    <t>OJG075</t>
  </si>
  <si>
    <t>Cambiar bujes de elasticos traseros</t>
  </si>
  <si>
    <t>Colocar perno de tensores de ejes</t>
  </si>
  <si>
    <t>Cambiar Sensor de Valvulas de 6 Vias</t>
  </si>
  <si>
    <t>Coloco Cubierta Usada TDI  - Armado y Desarmado</t>
  </si>
  <si>
    <t>Cambio Buje De Palanca De Cambios</t>
  </si>
  <si>
    <t>Colocar Deflector Delantero Der Reparado</t>
  </si>
  <si>
    <t>Cambiar Ruleman del Tensor Movil</t>
  </si>
  <si>
    <t>Cambiar Ficha De Triller Macho</t>
  </si>
  <si>
    <t>Materiales cargados no coinciden: FICHA MACHO 24V 7 PINES PARA SEMI REMOLQUE - DNI, ESCOBILLA LIMPIA PARABRISAS 26" (650MM) - BOSCH (B162)</t>
  </si>
  <si>
    <t>Colocar Vaso de Trampa de GasOil</t>
  </si>
  <si>
    <t>2) Desconexión de material (Falta 'VENTILADOR VISCOSO', 'GRAMPAS')</t>
  </si>
  <si>
    <t>Cambiar Cubierta Eje Balancin BIE, Desarme y Arme</t>
  </si>
  <si>
    <t>Cambiar Cubierta Eje Balancin BII, Desarme y Arme</t>
  </si>
  <si>
    <t>Cambiar Cubierta Eje Balancin BDI, Desarme y Arme</t>
  </si>
  <si>
    <t>Descarga</t>
  </si>
  <si>
    <t>Estados Control</t>
  </si>
  <si>
    <t>Estados OK</t>
  </si>
  <si>
    <t>OK</t>
  </si>
  <si>
    <t>Control</t>
  </si>
  <si>
    <t>Falta Consumo</t>
  </si>
  <si>
    <t>OK Contabilizar</t>
  </si>
  <si>
    <t>Falta Material</t>
  </si>
  <si>
    <t>Ok</t>
  </si>
  <si>
    <t>2) Desconexión de material (Falta 'ACEITE', 'FILTRO')</t>
  </si>
  <si>
    <t>2) Desconexión de material (Falta 'MANIJA')</t>
  </si>
  <si>
    <t>ok</t>
  </si>
  <si>
    <t>OK Contabilizar (Aclarar en Comentarios)</t>
  </si>
  <si>
    <t>2) Desconexión de material (Falta 'RGRASA')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</si>
</sst>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Arial"/>
    </font>
    <font>
      <b/>
      <sz val="11"/>
      <color rgb="FFFFFFFF"/>
      <name val="Arial"/>
      <family val="2"/>
    </font>
  </fonts>
  <fills count="8">
    <fill>
      <patternFill patternType="none"/>
    </fill>
    <fill>
      <patternFill patternType="gray125"/>
    </fill>
    <fill>
      <patternFill patternType="solid">
        <fgColor rgb="FF1F497D"/>
      </patternFill>
    </fill>
    <fill>
      <patternFill patternType="solid">
        <fgColor rgb="FFF9FAFB"/>
      </patternFill>
    </fill>
    <fill>
      <patternFill patternType="solid">
        <fgColor rgb="FFFCE4D6"/>
      </patternFill>
    </fill>
    <fill>
      <patternFill patternType="solid">
        <fgColor rgb="FFE2EFDA"/>
      </patternFill>
    </fill>
    <fill>
      <patternFill patternType="solid">
        <fgColor rgb="FFFFF2CC"/>
      </patternFill>
    </fill>
    <fill>
      <patternFill patternType="solid">
        <fgColor theme="4" tint="0.79998168889431442"/>
        <bgColor indexed="64"/>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style="thin">
        <color rgb="FFD9D9D9"/>
      </right>
      <top style="thin">
        <color rgb="FFD9D9D9"/>
      </top>
      <bottom style="thin">
        <color indexed="64"/>
      </bottom>
      <diagonal/>
    </border>
    <border>
      <left style="thin">
        <color rgb="FFD9D9D9"/>
      </left>
      <right style="thin">
        <color rgb="FFD9D9D9"/>
      </right>
      <top/>
      <bottom style="thin">
        <color rgb="FFD9D9D9"/>
      </bottom>
      <diagonal/>
    </border>
  </borders>
  <cellStyleXfs count="1">
    <xf numFmtId="0" fontId="0" fillId="0" borderId="0"/>
  </cellStyleXfs>
  <cellXfs count="35">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4" borderId="1" xfId="0"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5" borderId="1" xfId="0" applyFill="1" applyBorder="1" applyAlignment="1">
      <alignment horizontal="left" vertical="center"/>
    </xf>
    <xf numFmtId="0" fontId="0" fillId="6" borderId="1" xfId="0" applyFill="1" applyBorder="1" applyAlignment="1">
      <alignment horizontal="left" vertical="center"/>
    </xf>
    <xf numFmtId="0" fontId="0" fillId="0" borderId="0" xfId="0" applyBorder="1" applyAlignment="1">
      <alignment horizontal="center" vertical="center"/>
    </xf>
    <xf numFmtId="0" fontId="0" fillId="3" borderId="0" xfId="0" applyFill="1" applyBorder="1" applyAlignment="1">
      <alignment horizontal="center" vertical="center"/>
    </xf>
    <xf numFmtId="14" fontId="0" fillId="3" borderId="1" xfId="0" applyNumberFormat="1" applyFill="1" applyBorder="1" applyAlignment="1">
      <alignment horizontal="center" vertical="center"/>
    </xf>
    <xf numFmtId="0" fontId="2" fillId="2" borderId="1" xfId="0" applyFont="1" applyFill="1" applyBorder="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xf>
    <xf numFmtId="0" fontId="2" fillId="2" borderId="2" xfId="0" applyFont="1" applyFill="1" applyBorder="1" applyAlignment="1">
      <alignment horizontal="center" vertical="center"/>
    </xf>
    <xf numFmtId="0" fontId="0" fillId="0" borderId="1" xfId="0" applyBorder="1"/>
    <xf numFmtId="0" fontId="1"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3" borderId="1" xfId="0" applyFill="1" applyBorder="1" applyAlignment="1">
      <alignment horizontal="left" vertical="center" wrapText="1"/>
    </xf>
    <xf numFmtId="0" fontId="0" fillId="0" borderId="0" xfId="0" applyAlignment="1">
      <alignment wrapText="1"/>
    </xf>
    <xf numFmtId="0" fontId="0" fillId="7" borderId="1" xfId="0" applyFill="1" applyBorder="1" applyAlignment="1">
      <alignment horizontal="center" vertical="center"/>
    </xf>
    <xf numFmtId="0" fontId="0" fillId="7" borderId="1" xfId="0" applyFill="1" applyBorder="1" applyAlignment="1">
      <alignment horizontal="left" vertical="center"/>
    </xf>
    <xf numFmtId="14" fontId="0" fillId="7" borderId="1" xfId="0" applyNumberFormat="1" applyFill="1" applyBorder="1" applyAlignment="1">
      <alignment horizontal="center" vertical="center"/>
    </xf>
    <xf numFmtId="0" fontId="0" fillId="7" borderId="0" xfId="0" applyFill="1" applyBorder="1" applyAlignment="1">
      <alignment horizontal="center" vertical="center"/>
    </xf>
    <xf numFmtId="0" fontId="0" fillId="7" borderId="1" xfId="0" applyFill="1" applyBorder="1" applyAlignment="1">
      <alignment horizontal="left" vertical="center" wrapText="1"/>
    </xf>
    <xf numFmtId="14" fontId="0" fillId="7" borderId="0" xfId="0" applyNumberFormat="1" applyFill="1" applyAlignment="1">
      <alignment horizontal="center" vertical="center"/>
    </xf>
    <xf numFmtId="0" fontId="0" fillId="7" borderId="0" xfId="0" applyFill="1"/>
    <xf numFmtId="0" fontId="0" fillId="7" borderId="1" xfId="0" applyFill="1" applyBorder="1"/>
    <xf numFmtId="0" fontId="0" fillId="0" borderId="4" xfId="0" applyBorder="1" applyAlignment="1">
      <alignment horizontal="center" vertical="center"/>
    </xf>
    <xf numFmtId="0" fontId="0" fillId="0" borderId="4" xfId="0" applyBorder="1" applyAlignment="1">
      <alignment horizontal="left" vertical="center"/>
    </xf>
    <xf numFmtId="14" fontId="0" fillId="3" borderId="4" xfId="0" applyNumberFormat="1" applyFill="1" applyBorder="1" applyAlignment="1">
      <alignment horizontal="center" vertical="center"/>
    </xf>
    <xf numFmtId="0" fontId="0" fillId="7" borderId="3" xfId="0" applyFill="1" applyBorder="1" applyAlignment="1">
      <alignment horizontal="center" vertical="center"/>
    </xf>
    <xf numFmtId="0" fontId="0" fillId="7" borderId="3" xfId="0" applyFill="1" applyBorder="1" applyAlignment="1">
      <alignment horizontal="left" vertical="center"/>
    </xf>
    <xf numFmtId="14" fontId="0" fillId="7" borderId="3" xfId="0" applyNumberForma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Mi%20unidad\Peajes%20FC\Dashboard%20Auditoria\Tareas%20vs%20Material\Auditoria_Mantenimiento_Generado%20(28-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ditoría"/>
    </sheetNames>
    <sheetDataSet>
      <sheetData sheetId="0">
        <row r="2">
          <cell r="A2">
            <v>35573</v>
          </cell>
          <cell r="B2" t="str">
            <v>Correctivo</v>
          </cell>
          <cell r="C2" t="str">
            <v>BSAS</v>
          </cell>
          <cell r="D2" t="str">
            <v>No</v>
          </cell>
          <cell r="E2" t="str">
            <v>03/06/2026</v>
          </cell>
          <cell r="F2" t="str">
            <v>O</v>
          </cell>
          <cell r="G2" t="str">
            <v>AF066NT</v>
          </cell>
          <cell r="H2" t="str">
            <v>TECTOR EVO 170E28</v>
          </cell>
          <cell r="I2" t="str">
            <v>Se Colocó Portadocumento Nuevo</v>
          </cell>
          <cell r="J2" t="e">
            <v>#N/A</v>
          </cell>
        </row>
        <row r="3">
          <cell r="A3">
            <v>36119</v>
          </cell>
          <cell r="B3" t="str">
            <v>Correctivo</v>
          </cell>
          <cell r="C3" t="str">
            <v>SRAF</v>
          </cell>
          <cell r="D3" t="str">
            <v>No</v>
          </cell>
          <cell r="E3" t="str">
            <v>04/06/2026</v>
          </cell>
          <cell r="F3" t="str">
            <v>O</v>
          </cell>
          <cell r="G3" t="str">
            <v>OAF635</v>
          </cell>
          <cell r="H3" t="str">
            <v>16-BDAS. VOLC. 3 EJES</v>
          </cell>
          <cell r="I3" t="str">
            <v>Cambiar rueda completa remolque en taller</v>
          </cell>
          <cell r="J3" t="str">
            <v>Falta Consumos</v>
          </cell>
        </row>
        <row r="4">
          <cell r="A4">
            <v>35407</v>
          </cell>
          <cell r="B4" t="str">
            <v>Correctivo</v>
          </cell>
          <cell r="C4" t="str">
            <v>CIUD</v>
          </cell>
          <cell r="D4" t="str">
            <v>No</v>
          </cell>
          <cell r="E4" t="str">
            <v>07/06/2026</v>
          </cell>
          <cell r="F4" t="str">
            <v>O</v>
          </cell>
          <cell r="G4" t="str">
            <v>HQM968</v>
          </cell>
          <cell r="H4" t="str">
            <v>1318</v>
          </cell>
          <cell r="I4" t="str">
            <v>Cambiar Maquina levanta Cristal Der</v>
          </cell>
          <cell r="J4" t="str">
            <v>Falta Material</v>
          </cell>
        </row>
        <row r="5">
          <cell r="A5">
            <v>35828</v>
          </cell>
          <cell r="B5" t="str">
            <v>Correctivo</v>
          </cell>
          <cell r="C5" t="str">
            <v>SRAF</v>
          </cell>
          <cell r="D5" t="str">
            <v>No</v>
          </cell>
          <cell r="E5" t="str">
            <v>15/06/2026</v>
          </cell>
          <cell r="F5" t="str">
            <v>O</v>
          </cell>
          <cell r="G5" t="str">
            <v>AD267VH</v>
          </cell>
          <cell r="H5" t="str">
            <v>FORD CARGO 1519-48</v>
          </cell>
          <cell r="I5" t="str">
            <v>Cambiar codo de admision del turbo</v>
          </cell>
          <cell r="J5" t="str">
            <v>OK, Contabilizar</v>
          </cell>
        </row>
        <row r="6">
          <cell r="A6">
            <v>36086</v>
          </cell>
          <cell r="B6" t="str">
            <v>Correctivo</v>
          </cell>
          <cell r="C6" t="str">
            <v>BSAS</v>
          </cell>
          <cell r="D6" t="str">
            <v>No</v>
          </cell>
          <cell r="E6" t="str">
            <v>16/06/2026</v>
          </cell>
          <cell r="F6" t="str">
            <v>O</v>
          </cell>
          <cell r="G6" t="str">
            <v>OJG072</v>
          </cell>
          <cell r="H6" t="str">
            <v>32-CORT. LAT. 3 EJES-1</v>
          </cell>
          <cell r="I6" t="str">
            <v>Cambio Lampara de Posicion</v>
          </cell>
          <cell r="J6" t="str">
            <v>Falta Consumos</v>
          </cell>
        </row>
        <row r="7">
          <cell r="A7">
            <v>36401</v>
          </cell>
          <cell r="B7" t="str">
            <v>Correctivo</v>
          </cell>
          <cell r="C7" t="str">
            <v>BSAS</v>
          </cell>
          <cell r="D7" t="str">
            <v>No</v>
          </cell>
          <cell r="E7" t="str">
            <v>16/06/2026</v>
          </cell>
          <cell r="F7" t="str">
            <v>O</v>
          </cell>
          <cell r="G7" t="str">
            <v>OJG063</v>
          </cell>
          <cell r="H7" t="str">
            <v>ATRON 1720</v>
          </cell>
          <cell r="I7" t="str">
            <v>Cambiar Lamparas 24V 21/5w Varias</v>
          </cell>
          <cell r="J7" t="str">
            <v>Falta Salia Material</v>
          </cell>
        </row>
        <row r="8">
          <cell r="A8">
            <v>36002</v>
          </cell>
          <cell r="B8" t="str">
            <v>Correctivo</v>
          </cell>
          <cell r="C8" t="str">
            <v>CIUD</v>
          </cell>
          <cell r="D8" t="str">
            <v>No</v>
          </cell>
          <cell r="E8" t="str">
            <v>18/06/2026</v>
          </cell>
          <cell r="F8" t="str">
            <v>O</v>
          </cell>
          <cell r="G8" t="str">
            <v>AF371BG</v>
          </cell>
          <cell r="H8" t="str">
            <v>PALETERO S.PA.3E.71 2+1</v>
          </cell>
          <cell r="I8" t="str">
            <v>Cambiar Sensor de Valvulas de 6 Vias</v>
          </cell>
          <cell r="J8" t="str">
            <v>Falta Material</v>
          </cell>
        </row>
        <row r="9">
          <cell r="A9">
            <v>36157</v>
          </cell>
          <cell r="B9" t="str">
            <v>Correctivo</v>
          </cell>
          <cell r="C9" t="str">
            <v>CIUD</v>
          </cell>
          <cell r="D9" t="str">
            <v>No</v>
          </cell>
          <cell r="E9" t="str">
            <v>21/06/2026</v>
          </cell>
          <cell r="F9" t="str">
            <v>O</v>
          </cell>
          <cell r="G9" t="str">
            <v>JEB635</v>
          </cell>
          <cell r="H9" t="str">
            <v>ATEGO 1725</v>
          </cell>
          <cell r="I9" t="str">
            <v>Cambiar Palanca Multifuncion 24V</v>
          </cell>
          <cell r="J9" t="str">
            <v>OK</v>
          </cell>
        </row>
        <row r="10">
          <cell r="A10">
            <v>36157</v>
          </cell>
          <cell r="B10" t="str">
            <v>Correctivo</v>
          </cell>
          <cell r="C10" t="str">
            <v>CIUD</v>
          </cell>
          <cell r="D10" t="str">
            <v>No</v>
          </cell>
          <cell r="E10" t="str">
            <v>21/06/2026</v>
          </cell>
          <cell r="F10" t="str">
            <v>O</v>
          </cell>
          <cell r="G10" t="str">
            <v>JEB635</v>
          </cell>
          <cell r="H10" t="str">
            <v>ATEGO 1725</v>
          </cell>
          <cell r="I10" t="str">
            <v>Cambiar tapa deposito de agua motor</v>
          </cell>
          <cell r="J10" t="str">
            <v>OK</v>
          </cell>
        </row>
        <row r="11">
          <cell r="A11">
            <v>36157</v>
          </cell>
          <cell r="B11" t="str">
            <v>Correctivo</v>
          </cell>
          <cell r="C11" t="str">
            <v>CIUD</v>
          </cell>
          <cell r="D11" t="str">
            <v>No</v>
          </cell>
          <cell r="E11" t="str">
            <v>21/06/2026</v>
          </cell>
          <cell r="F11" t="str">
            <v>O</v>
          </cell>
          <cell r="G11" t="str">
            <v>JEB635</v>
          </cell>
          <cell r="H11" t="str">
            <v>ATEGO 1725</v>
          </cell>
          <cell r="I11" t="str">
            <v>Cambiar Bocina Nueva</v>
          </cell>
          <cell r="J11" t="str">
            <v>OK</v>
          </cell>
        </row>
        <row r="12">
          <cell r="A12">
            <v>36157</v>
          </cell>
          <cell r="B12" t="str">
            <v>Correctivo</v>
          </cell>
          <cell r="C12" t="str">
            <v>CIUD</v>
          </cell>
          <cell r="D12" t="str">
            <v>No</v>
          </cell>
          <cell r="E12" t="str">
            <v>21/06/2026</v>
          </cell>
          <cell r="F12" t="str">
            <v>O</v>
          </cell>
          <cell r="G12" t="str">
            <v>JEB635</v>
          </cell>
          <cell r="H12" t="str">
            <v>ATEGO 1725</v>
          </cell>
          <cell r="I12" t="str">
            <v>Cambiar Fusible 10 Amp</v>
          </cell>
          <cell r="J12" t="str">
            <v>OK</v>
          </cell>
        </row>
        <row r="13">
          <cell r="A13">
            <v>36436</v>
          </cell>
          <cell r="B13" t="str">
            <v>Correctivo</v>
          </cell>
          <cell r="C13" t="str">
            <v>BSAS</v>
          </cell>
          <cell r="D13" t="str">
            <v>No</v>
          </cell>
          <cell r="E13" t="str">
            <v>21/06/2026</v>
          </cell>
          <cell r="F13" t="str">
            <v>O</v>
          </cell>
          <cell r="G13" t="str">
            <v>HQM968</v>
          </cell>
          <cell r="H13" t="str">
            <v>1318</v>
          </cell>
          <cell r="I13" t="str">
            <v>Cambiar lamparas</v>
          </cell>
          <cell r="J13" t="str">
            <v>Falta Consumos</v>
          </cell>
        </row>
        <row r="14">
          <cell r="A14">
            <v>36348</v>
          </cell>
          <cell r="B14" t="str">
            <v>Correctivo</v>
          </cell>
          <cell r="C14" t="str">
            <v>CIUD</v>
          </cell>
          <cell r="D14" t="str">
            <v>No</v>
          </cell>
          <cell r="E14" t="str">
            <v>24/06/2026</v>
          </cell>
          <cell r="F14" t="str">
            <v>O</v>
          </cell>
          <cell r="G14" t="str">
            <v>KMF921</v>
          </cell>
          <cell r="H14" t="str">
            <v>FTHDCFW3</v>
          </cell>
          <cell r="I14" t="str">
            <v>Limpio Laterales de interior de Semi para Colocar Silicona</v>
          </cell>
          <cell r="J14" t="str">
            <v>OK, Contabilizar</v>
          </cell>
        </row>
        <row r="15">
          <cell r="A15">
            <v>36348</v>
          </cell>
          <cell r="B15" t="str">
            <v>Correctivo</v>
          </cell>
          <cell r="C15" t="str">
            <v>CIUD</v>
          </cell>
          <cell r="D15" t="str">
            <v>No</v>
          </cell>
          <cell r="E15" t="str">
            <v>24/06/2026</v>
          </cell>
          <cell r="F15" t="str">
            <v>O</v>
          </cell>
          <cell r="G15" t="str">
            <v>KMF921</v>
          </cell>
          <cell r="H15" t="str">
            <v>FTHDCFW3</v>
          </cell>
          <cell r="I15" t="str">
            <v>Colocar chapa Semi C/Remaches  Lateral Izquierdo</v>
          </cell>
          <cell r="J15" t="str">
            <v>OK, Contabilizar</v>
          </cell>
        </row>
        <row r="16">
          <cell r="A16">
            <v>36348</v>
          </cell>
          <cell r="B16" t="str">
            <v>Correctivo</v>
          </cell>
          <cell r="C16" t="str">
            <v>CIUD</v>
          </cell>
          <cell r="D16" t="str">
            <v>No</v>
          </cell>
          <cell r="E16" t="str">
            <v>24/06/2026</v>
          </cell>
          <cell r="F16" t="str">
            <v>O</v>
          </cell>
          <cell r="G16" t="str">
            <v>KMF921</v>
          </cell>
          <cell r="H16" t="str">
            <v>FTHDCFW3</v>
          </cell>
          <cell r="I16" t="str">
            <v>Colocar chapa Semi C/Remaches  Lateral Derecho</v>
          </cell>
          <cell r="J16" t="str">
            <v>OK, Contabilizar</v>
          </cell>
        </row>
        <row r="17">
          <cell r="A17">
            <v>36355</v>
          </cell>
          <cell r="B17" t="str">
            <v>Correctivo</v>
          </cell>
          <cell r="C17" t="str">
            <v>CIUD</v>
          </cell>
          <cell r="D17" t="str">
            <v>No</v>
          </cell>
          <cell r="E17" t="str">
            <v>25/06/2026</v>
          </cell>
          <cell r="F17" t="str">
            <v>O</v>
          </cell>
          <cell r="G17" t="str">
            <v>KBO542</v>
          </cell>
          <cell r="H17" t="str">
            <v>AXOR 1933</v>
          </cell>
          <cell r="I17" t="str">
            <v>Cambiar Flexible De Escape</v>
          </cell>
          <cell r="J17" t="str">
            <v>Falta Consumo</v>
          </cell>
        </row>
        <row r="18">
          <cell r="A18">
            <v>36373</v>
          </cell>
          <cell r="B18" t="str">
            <v>Correctivo</v>
          </cell>
          <cell r="C18" t="str">
            <v>BSAS</v>
          </cell>
          <cell r="D18" t="str">
            <v>No</v>
          </cell>
          <cell r="E18" t="str">
            <v>25/06/2026</v>
          </cell>
          <cell r="F18" t="str">
            <v>O</v>
          </cell>
          <cell r="G18" t="str">
            <v>AF639HB</v>
          </cell>
          <cell r="H18" t="str">
            <v>TECTOR EVO 170E28</v>
          </cell>
          <cell r="I18" t="str">
            <v>Cambio Tecla De Luz</v>
          </cell>
          <cell r="J18" t="str">
            <v>Falta Consumos</v>
          </cell>
        </row>
        <row r="19">
          <cell r="A19">
            <v>36373</v>
          </cell>
          <cell r="B19" t="str">
            <v>Correctivo</v>
          </cell>
          <cell r="C19" t="str">
            <v>BSAS</v>
          </cell>
          <cell r="D19" t="str">
            <v>No</v>
          </cell>
          <cell r="E19" t="str">
            <v>25/06/2026</v>
          </cell>
          <cell r="F19" t="str">
            <v>O</v>
          </cell>
          <cell r="G19" t="str">
            <v>AF639HB</v>
          </cell>
          <cell r="H19" t="str">
            <v>TECTOR EVO 170E28</v>
          </cell>
          <cell r="I19" t="str">
            <v>Cambiar Luz De Carroceria</v>
          </cell>
          <cell r="J19" t="str">
            <v>Falta Consumos</v>
          </cell>
        </row>
        <row r="20">
          <cell r="A20">
            <v>36604</v>
          </cell>
          <cell r="B20" t="str">
            <v>Correctivo</v>
          </cell>
          <cell r="C20" t="str">
            <v>BSAS</v>
          </cell>
          <cell r="D20" t="str">
            <v>No</v>
          </cell>
          <cell r="E20" t="str">
            <v>25/06/2026</v>
          </cell>
          <cell r="F20" t="str">
            <v>O</v>
          </cell>
          <cell r="G20" t="str">
            <v>NIE152</v>
          </cell>
          <cell r="H20" t="str">
            <v>ATRON 1720</v>
          </cell>
          <cell r="I20" t="str">
            <v>Cambiar Espejo Lado Der</v>
          </cell>
          <cell r="J20" t="str">
            <v>Falta Consumos</v>
          </cell>
        </row>
        <row r="21">
          <cell r="A21">
            <v>36705</v>
          </cell>
          <cell r="B21" t="str">
            <v>Correctivo</v>
          </cell>
          <cell r="C21" t="str">
            <v>MNZA</v>
          </cell>
          <cell r="D21" t="str">
            <v>No</v>
          </cell>
          <cell r="E21" t="str">
            <v>25/06/2026</v>
          </cell>
          <cell r="F21" t="str">
            <v>O</v>
          </cell>
          <cell r="G21" t="str">
            <v>GUW657</v>
          </cell>
          <cell r="H21" t="str">
            <v>1624</v>
          </cell>
          <cell r="I21" t="str">
            <v>Colocar Tapa de Cilindro</v>
          </cell>
          <cell r="J21" t="str">
            <v>Aclarar si es cambio, ver falta Junta tapa de Valvulas</v>
          </cell>
        </row>
        <row r="22">
          <cell r="A22">
            <v>36814</v>
          </cell>
          <cell r="B22" t="str">
            <v>Correctivo</v>
          </cell>
          <cell r="C22" t="str">
            <v>BSAS</v>
          </cell>
          <cell r="D22" t="str">
            <v>No</v>
          </cell>
          <cell r="E22" t="str">
            <v>25/06/2026</v>
          </cell>
          <cell r="F22" t="str">
            <v>O</v>
          </cell>
          <cell r="G22" t="str">
            <v>OJG099</v>
          </cell>
          <cell r="H22" t="str">
            <v>ATEGO 1725</v>
          </cell>
          <cell r="I22" t="str">
            <v>Cambiar lamparas</v>
          </cell>
          <cell r="J22" t="str">
            <v>Falta Consumo</v>
          </cell>
        </row>
        <row r="23">
          <cell r="A23">
            <v>36816</v>
          </cell>
          <cell r="B23" t="str">
            <v>Correctivo</v>
          </cell>
          <cell r="C23" t="str">
            <v>BSAS</v>
          </cell>
          <cell r="D23" t="str">
            <v>No</v>
          </cell>
          <cell r="E23" t="str">
            <v>25/06/2026</v>
          </cell>
          <cell r="F23" t="str">
            <v>O</v>
          </cell>
          <cell r="G23" t="str">
            <v>KBV620</v>
          </cell>
          <cell r="H23" t="str">
            <v>1318</v>
          </cell>
          <cell r="I23" t="str">
            <v>Cambio Tecla De Luz</v>
          </cell>
          <cell r="J23" t="str">
            <v>Falta Consumo</v>
          </cell>
        </row>
        <row r="24">
          <cell r="A24">
            <v>36817</v>
          </cell>
          <cell r="B24" t="str">
            <v>Correctivo</v>
          </cell>
          <cell r="C24" t="str">
            <v>BSAS</v>
          </cell>
          <cell r="D24" t="str">
            <v>No</v>
          </cell>
          <cell r="E24" t="str">
            <v>25/06/2026</v>
          </cell>
          <cell r="F24" t="str">
            <v>O</v>
          </cell>
          <cell r="G24" t="str">
            <v>OJG061</v>
          </cell>
          <cell r="H24" t="str">
            <v>ATRON 1720</v>
          </cell>
          <cell r="I24" t="str">
            <v>Cambio Fuelle De Palanca De Cambios</v>
          </cell>
          <cell r="J24" t="str">
            <v>Falta Material</v>
          </cell>
        </row>
        <row r="25">
          <cell r="A25">
            <v>36473</v>
          </cell>
          <cell r="B25" t="str">
            <v>Correctivo</v>
          </cell>
          <cell r="C25" t="str">
            <v>CIUD</v>
          </cell>
          <cell r="D25" t="str">
            <v>No</v>
          </cell>
          <cell r="E25" t="str">
            <v>26/06/2026</v>
          </cell>
          <cell r="F25" t="str">
            <v>O</v>
          </cell>
          <cell r="G25" t="str">
            <v>AD426HW</v>
          </cell>
          <cell r="H25" t="str">
            <v>AXOR 2541</v>
          </cell>
          <cell r="I25" t="str">
            <v>Cambiar Acrilico Trasero MB</v>
          </cell>
          <cell r="J25" t="str">
            <v>Falta Material</v>
          </cell>
        </row>
        <row r="26">
          <cell r="A26">
            <v>36609</v>
          </cell>
          <cell r="B26" t="str">
            <v>Correctivo</v>
          </cell>
          <cell r="C26" t="str">
            <v>BSAS</v>
          </cell>
          <cell r="D26" t="str">
            <v>No</v>
          </cell>
          <cell r="E26" t="str">
            <v>26/06/2026</v>
          </cell>
          <cell r="F26" t="str">
            <v>O</v>
          </cell>
          <cell r="G26" t="str">
            <v>AG300AR</v>
          </cell>
          <cell r="H26" t="str">
            <v>ATEGO 1729</v>
          </cell>
          <cell r="I26" t="str">
            <v>Cambiar lamparas</v>
          </cell>
          <cell r="J26" t="str">
            <v>Falta Consumo</v>
          </cell>
        </row>
        <row r="27">
          <cell r="A27">
            <v>36614</v>
          </cell>
          <cell r="B27" t="str">
            <v>Correctivo</v>
          </cell>
          <cell r="C27" t="str">
            <v>BSAS</v>
          </cell>
          <cell r="D27" t="str">
            <v>No</v>
          </cell>
          <cell r="E27" t="str">
            <v>26/06/2026</v>
          </cell>
          <cell r="F27" t="str">
            <v>O</v>
          </cell>
          <cell r="G27" t="str">
            <v>AF737MQ</v>
          </cell>
          <cell r="H27" t="str">
            <v>ATEGO 1721</v>
          </cell>
          <cell r="I27" t="str">
            <v>Cambio Vidrio Espejo</v>
          </cell>
          <cell r="J27" t="str">
            <v>Falta Consumo</v>
          </cell>
        </row>
        <row r="28">
          <cell r="A28">
            <v>36614</v>
          </cell>
          <cell r="B28" t="str">
            <v>Correctivo</v>
          </cell>
          <cell r="C28" t="str">
            <v>BSAS</v>
          </cell>
          <cell r="D28" t="str">
            <v>No</v>
          </cell>
          <cell r="E28" t="str">
            <v>26/06/2026</v>
          </cell>
          <cell r="F28" t="str">
            <v>O</v>
          </cell>
          <cell r="G28" t="str">
            <v>AF737MQ</v>
          </cell>
          <cell r="H28" t="str">
            <v>ATEGO 1721</v>
          </cell>
          <cell r="I28" t="str">
            <v>Cambiar Lámpara Reglamentarias</v>
          </cell>
          <cell r="J28" t="str">
            <v>Falta Consumo</v>
          </cell>
        </row>
        <row r="29">
          <cell r="A29">
            <v>36492</v>
          </cell>
          <cell r="B29" t="str">
            <v>Correctivo</v>
          </cell>
          <cell r="C29" t="str">
            <v>CIUD</v>
          </cell>
          <cell r="D29" t="str">
            <v>No</v>
          </cell>
          <cell r="E29" t="str">
            <v>28/06/2026</v>
          </cell>
          <cell r="F29" t="str">
            <v>O</v>
          </cell>
          <cell r="G29" t="str">
            <v>AF743LB</v>
          </cell>
          <cell r="H29" t="str">
            <v>ATEGO 1729</v>
          </cell>
          <cell r="I29" t="str">
            <v>Parametrizar todos los cambios</v>
          </cell>
          <cell r="J29" t="e">
            <v>#N/A</v>
          </cell>
        </row>
        <row r="30">
          <cell r="A30">
            <v>36494</v>
          </cell>
          <cell r="B30" t="str">
            <v>Correctivo</v>
          </cell>
          <cell r="C30" t="str">
            <v>CIUD</v>
          </cell>
          <cell r="D30" t="str">
            <v>No</v>
          </cell>
          <cell r="E30" t="str">
            <v>28/06/2026</v>
          </cell>
          <cell r="F30" t="str">
            <v>O</v>
          </cell>
          <cell r="G30" t="str">
            <v>JKG664</v>
          </cell>
          <cell r="H30" t="str">
            <v>ATEGO 1725</v>
          </cell>
          <cell r="I30" t="str">
            <v>Cambio Arandela De Tapa Compresor</v>
          </cell>
          <cell r="J30" t="str">
            <v>Falta Consumo</v>
          </cell>
        </row>
        <row r="31">
          <cell r="A31">
            <v>36498</v>
          </cell>
          <cell r="B31" t="str">
            <v>Correctivo</v>
          </cell>
          <cell r="C31" t="str">
            <v>CIUD</v>
          </cell>
          <cell r="D31" t="str">
            <v>No</v>
          </cell>
          <cell r="E31" t="str">
            <v>28/06/2026</v>
          </cell>
          <cell r="F31" t="str">
            <v>O</v>
          </cell>
          <cell r="G31" t="str">
            <v>OHH596</v>
          </cell>
          <cell r="H31" t="str">
            <v>ATRON 1720</v>
          </cell>
          <cell r="I31" t="str">
            <v>Coloco Cubierta Usada TDE  - Armado y Desarmado</v>
          </cell>
          <cell r="J31" t="str">
            <v>Falta Material</v>
          </cell>
        </row>
        <row r="32">
          <cell r="A32">
            <v>36848</v>
          </cell>
          <cell r="B32" t="str">
            <v>Correctivo</v>
          </cell>
          <cell r="C32" t="str">
            <v>BSAS</v>
          </cell>
          <cell r="D32" t="str">
            <v>No</v>
          </cell>
          <cell r="E32" t="str">
            <v>28/06/2026</v>
          </cell>
          <cell r="F32" t="str">
            <v>O</v>
          </cell>
          <cell r="G32" t="str">
            <v>KNE956</v>
          </cell>
          <cell r="H32" t="str">
            <v>AXOR 1933</v>
          </cell>
          <cell r="I32" t="str">
            <v>Colocar Precintos</v>
          </cell>
          <cell r="J32" t="str">
            <v>Falta Material</v>
          </cell>
        </row>
        <row r="33">
          <cell r="A33">
            <v>36503</v>
          </cell>
          <cell r="B33" t="str">
            <v>Correctivo</v>
          </cell>
          <cell r="C33" t="str">
            <v>CIUD</v>
          </cell>
          <cell r="D33" t="str">
            <v>No</v>
          </cell>
          <cell r="E33" t="str">
            <v>29/06/2026</v>
          </cell>
          <cell r="F33" t="str">
            <v>O</v>
          </cell>
          <cell r="G33" t="str">
            <v>AF672EU</v>
          </cell>
          <cell r="H33" t="str">
            <v>ATEGO 1729</v>
          </cell>
          <cell r="I33" t="str">
            <v>Cambiar Lampara de Posicion Delantera Izq</v>
          </cell>
          <cell r="J33" t="str">
            <v>Falta Material</v>
          </cell>
        </row>
        <row r="34">
          <cell r="A34">
            <v>36629</v>
          </cell>
          <cell r="B34" t="str">
            <v>Correctivo</v>
          </cell>
          <cell r="C34" t="str">
            <v>CIUD</v>
          </cell>
          <cell r="D34" t="str">
            <v>No</v>
          </cell>
          <cell r="E34" t="str">
            <v>29/06/2026</v>
          </cell>
          <cell r="F34" t="str">
            <v>O</v>
          </cell>
          <cell r="G34" t="str">
            <v>GDR526</v>
          </cell>
          <cell r="H34" t="str">
            <v>1620</v>
          </cell>
          <cell r="I34" t="str">
            <v>Colocar Membrana liquida al Techo</v>
          </cell>
          <cell r="J34" t="str">
            <v>Falta Material</v>
          </cell>
        </row>
        <row r="35">
          <cell r="A35">
            <v>36629</v>
          </cell>
          <cell r="B35" t="str">
            <v>Correctivo</v>
          </cell>
          <cell r="C35" t="str">
            <v>CIUD</v>
          </cell>
          <cell r="D35" t="str">
            <v>No</v>
          </cell>
          <cell r="E35" t="str">
            <v>29/06/2026</v>
          </cell>
          <cell r="F35" t="str">
            <v>O</v>
          </cell>
          <cell r="G35" t="str">
            <v>GDR526</v>
          </cell>
          <cell r="H35" t="str">
            <v>1620</v>
          </cell>
          <cell r="I35" t="str">
            <v>Cambiar Taco De Carroceria</v>
          </cell>
          <cell r="J35" t="str">
            <v>Falta Material</v>
          </cell>
        </row>
        <row r="36">
          <cell r="A36">
            <v>36629</v>
          </cell>
          <cell r="B36" t="str">
            <v>Correctivo</v>
          </cell>
          <cell r="C36" t="str">
            <v>CIUD</v>
          </cell>
          <cell r="D36" t="str">
            <v>No</v>
          </cell>
          <cell r="E36" t="str">
            <v>29/06/2026</v>
          </cell>
          <cell r="F36" t="str">
            <v>O</v>
          </cell>
          <cell r="G36" t="str">
            <v>GDR526</v>
          </cell>
          <cell r="H36" t="str">
            <v>1620</v>
          </cell>
          <cell r="I36" t="str">
            <v>Colocar Vaso de Trampa de GasOil</v>
          </cell>
          <cell r="J36" t="str">
            <v>Falta Material</v>
          </cell>
        </row>
        <row r="37">
          <cell r="A37">
            <v>36629</v>
          </cell>
          <cell r="B37" t="str">
            <v>Correctivo</v>
          </cell>
          <cell r="C37" t="str">
            <v>CIUD</v>
          </cell>
          <cell r="D37" t="str">
            <v>No</v>
          </cell>
          <cell r="E37" t="str">
            <v>29/06/2026</v>
          </cell>
          <cell r="F37" t="str">
            <v>O</v>
          </cell>
          <cell r="G37" t="str">
            <v>GDR526</v>
          </cell>
          <cell r="H37" t="str">
            <v>1620</v>
          </cell>
          <cell r="I37" t="str">
            <v>Cambiar Soporte De Alternador</v>
          </cell>
          <cell r="J37" t="str">
            <v>Falta Material</v>
          </cell>
        </row>
        <row r="38">
          <cell r="A38">
            <v>36820</v>
          </cell>
          <cell r="B38" t="str">
            <v>Correctivo</v>
          </cell>
          <cell r="C38" t="str">
            <v>BSAS</v>
          </cell>
          <cell r="D38" t="str">
            <v>No</v>
          </cell>
          <cell r="E38" t="str">
            <v>29/06/2026</v>
          </cell>
          <cell r="F38" t="str">
            <v>O</v>
          </cell>
          <cell r="G38" t="str">
            <v>OHH586</v>
          </cell>
          <cell r="H38" t="str">
            <v>ATRON 1720</v>
          </cell>
          <cell r="I38" t="str">
            <v>Cambiar Tapa De Combustible</v>
          </cell>
          <cell r="J38" t="str">
            <v>OK Contabilizar</v>
          </cell>
        </row>
        <row r="39">
          <cell r="A39">
            <v>36821</v>
          </cell>
          <cell r="B39" t="str">
            <v>Correctivo</v>
          </cell>
          <cell r="C39" t="str">
            <v>BSAS</v>
          </cell>
          <cell r="D39" t="str">
            <v>No</v>
          </cell>
          <cell r="E39" t="str">
            <v>29/06/2026</v>
          </cell>
          <cell r="F39" t="str">
            <v>O</v>
          </cell>
          <cell r="G39" t="str">
            <v>AF642OS</v>
          </cell>
          <cell r="H39" t="str">
            <v>ATEGO 1721</v>
          </cell>
          <cell r="I39" t="str">
            <v>Cambiar lamparas</v>
          </cell>
          <cell r="J39" t="str">
            <v>Falta Consumo</v>
          </cell>
        </row>
        <row r="40">
          <cell r="A40">
            <v>36844</v>
          </cell>
          <cell r="B40" t="str">
            <v>Correctivo</v>
          </cell>
          <cell r="C40" t="str">
            <v>BSAS</v>
          </cell>
          <cell r="D40" t="str">
            <v>No</v>
          </cell>
          <cell r="E40" t="str">
            <v>29/06/2026</v>
          </cell>
          <cell r="F40" t="str">
            <v>O</v>
          </cell>
          <cell r="G40" t="str">
            <v>OHH592</v>
          </cell>
          <cell r="H40" t="str">
            <v>ATRON 1720</v>
          </cell>
          <cell r="I40" t="str">
            <v>Cambiar lampara h1 24v</v>
          </cell>
          <cell r="J40" t="str">
            <v>Falta Consumo</v>
          </cell>
        </row>
        <row r="41">
          <cell r="A41">
            <v>36845</v>
          </cell>
          <cell r="B41" t="str">
            <v>Correctivo</v>
          </cell>
          <cell r="C41" t="str">
            <v>BSAS</v>
          </cell>
          <cell r="D41" t="str">
            <v>No</v>
          </cell>
          <cell r="E41" t="str">
            <v>29/06/2026</v>
          </cell>
          <cell r="F41" t="str">
            <v>O</v>
          </cell>
          <cell r="G41" t="str">
            <v>AG095MR</v>
          </cell>
          <cell r="H41" t="str">
            <v>ATEGO 1721</v>
          </cell>
          <cell r="I41" t="str">
            <v>Coloco Brazo Completo De Espejo</v>
          </cell>
          <cell r="J41" t="str">
            <v>Falta Consumo</v>
          </cell>
        </row>
        <row r="42">
          <cell r="A42">
            <v>36845</v>
          </cell>
          <cell r="B42" t="str">
            <v>Correctivo</v>
          </cell>
          <cell r="C42" t="str">
            <v>BSAS</v>
          </cell>
          <cell r="D42" t="str">
            <v>No</v>
          </cell>
          <cell r="E42" t="str">
            <v>29/06/2026</v>
          </cell>
          <cell r="F42" t="str">
            <v>O</v>
          </cell>
          <cell r="G42" t="str">
            <v>AG095MR</v>
          </cell>
          <cell r="H42" t="str">
            <v>ATEGO 1721</v>
          </cell>
          <cell r="I42" t="str">
            <v>Cambiar lampara h7 24v</v>
          </cell>
          <cell r="J42" t="str">
            <v>Falta Consumo</v>
          </cell>
        </row>
        <row r="43">
          <cell r="A43">
            <v>36846</v>
          </cell>
          <cell r="B43" t="str">
            <v>Correctivo</v>
          </cell>
          <cell r="C43" t="str">
            <v>BSAS</v>
          </cell>
          <cell r="D43" t="str">
            <v>No</v>
          </cell>
          <cell r="E43" t="str">
            <v>29/06/2026</v>
          </cell>
          <cell r="F43" t="str">
            <v>O</v>
          </cell>
          <cell r="G43" t="str">
            <v>AF088ED</v>
          </cell>
          <cell r="H43" t="str">
            <v>ATEGO 1726</v>
          </cell>
          <cell r="I43" t="str">
            <v>Cambiar lampara h7 24v</v>
          </cell>
          <cell r="J43" t="str">
            <v>Falta Consumo</v>
          </cell>
        </row>
        <row r="44">
          <cell r="A44">
            <v>36867</v>
          </cell>
          <cell r="B44" t="str">
            <v>Correctivo</v>
          </cell>
          <cell r="C44" t="str">
            <v>BSAS</v>
          </cell>
          <cell r="D44" t="str">
            <v>No</v>
          </cell>
          <cell r="E44" t="str">
            <v>29/06/2026</v>
          </cell>
          <cell r="F44" t="str">
            <v>O</v>
          </cell>
          <cell r="G44" t="str">
            <v>KAV644</v>
          </cell>
          <cell r="H44" t="str">
            <v>ATEGO 1418</v>
          </cell>
          <cell r="I44" t="str">
            <v>Cambiar Lampara De Giro</v>
          </cell>
          <cell r="J44" t="str">
            <v>Falta Consumo</v>
          </cell>
        </row>
        <row r="45">
          <cell r="A45">
            <v>36869</v>
          </cell>
          <cell r="B45" t="str">
            <v>Correctivo</v>
          </cell>
          <cell r="C45" t="str">
            <v>BSAS</v>
          </cell>
          <cell r="D45" t="str">
            <v>No</v>
          </cell>
          <cell r="E45" t="str">
            <v>29/06/2026</v>
          </cell>
          <cell r="F45" t="str">
            <v>O</v>
          </cell>
          <cell r="G45" t="str">
            <v>OHH591</v>
          </cell>
          <cell r="H45" t="str">
            <v>ATRON 1720</v>
          </cell>
          <cell r="I45" t="str">
            <v>Cambiar Lámpara Posición</v>
          </cell>
          <cell r="J45" t="str">
            <v>Falta Consumo</v>
          </cell>
        </row>
        <row r="46">
          <cell r="A46">
            <v>36633</v>
          </cell>
          <cell r="B46" t="str">
            <v>Correctivo</v>
          </cell>
          <cell r="C46" t="str">
            <v>CIUD</v>
          </cell>
          <cell r="D46" t="str">
            <v>No</v>
          </cell>
          <cell r="E46" t="str">
            <v>30/06/2026</v>
          </cell>
          <cell r="F46" t="str">
            <v>O</v>
          </cell>
          <cell r="G46" t="str">
            <v>AD426HY</v>
          </cell>
          <cell r="H46" t="str">
            <v>AXOR 2541</v>
          </cell>
          <cell r="I46" t="str">
            <v>Cambiar Cubierta Eje Balancin BDI, Desarme y Arme</v>
          </cell>
          <cell r="J46" t="str">
            <v>Falta Consumo</v>
          </cell>
        </row>
        <row r="47">
          <cell r="A47">
            <v>36633</v>
          </cell>
          <cell r="B47" t="str">
            <v>Correctivo</v>
          </cell>
          <cell r="C47" t="str">
            <v>CIUD</v>
          </cell>
          <cell r="D47" t="str">
            <v>No</v>
          </cell>
          <cell r="E47" t="str">
            <v>30/06/2026</v>
          </cell>
          <cell r="F47" t="str">
            <v>O</v>
          </cell>
          <cell r="G47" t="str">
            <v>AD426HY</v>
          </cell>
          <cell r="H47" t="str">
            <v>AXOR 2541</v>
          </cell>
          <cell r="I47" t="str">
            <v>Cambiar Cubierta Eje Balancin BII, Desarme y Arme</v>
          </cell>
          <cell r="J47" t="str">
            <v>Falta Consumo</v>
          </cell>
        </row>
        <row r="48">
          <cell r="A48">
            <v>36633</v>
          </cell>
          <cell r="B48" t="str">
            <v>Correctivo</v>
          </cell>
          <cell r="C48" t="str">
            <v>CIUD</v>
          </cell>
          <cell r="D48" t="str">
            <v>No</v>
          </cell>
          <cell r="E48" t="str">
            <v>30/06/2026</v>
          </cell>
          <cell r="F48" t="str">
            <v>O</v>
          </cell>
          <cell r="G48" t="str">
            <v>AD426HY</v>
          </cell>
          <cell r="H48" t="str">
            <v>AXOR 2541</v>
          </cell>
          <cell r="I48" t="str">
            <v>Cambiar Cubierta Eje Balancin BIE, Desarme y Arme</v>
          </cell>
          <cell r="J48" t="str">
            <v>Falta Consumo</v>
          </cell>
        </row>
        <row r="49">
          <cell r="A49">
            <v>36633</v>
          </cell>
          <cell r="B49" t="str">
            <v>Correctivo</v>
          </cell>
          <cell r="C49" t="str">
            <v>CIUD</v>
          </cell>
          <cell r="D49" t="str">
            <v>No</v>
          </cell>
          <cell r="E49" t="str">
            <v>30/06/2026</v>
          </cell>
          <cell r="F49" t="str">
            <v>O</v>
          </cell>
          <cell r="G49" t="str">
            <v>AD426HY</v>
          </cell>
          <cell r="H49" t="str">
            <v>AXOR 2541</v>
          </cell>
          <cell r="I49" t="str">
            <v>Cambiar Cubierta Eje Balancin BDE, Desarme y Arme</v>
          </cell>
          <cell r="J49" t="str">
            <v>Falta Consumo</v>
          </cell>
        </row>
        <row r="50">
          <cell r="A50">
            <v>36635</v>
          </cell>
          <cell r="B50" t="str">
            <v>Correctivo</v>
          </cell>
          <cell r="C50" t="str">
            <v>CIUD</v>
          </cell>
          <cell r="D50" t="str">
            <v>No</v>
          </cell>
          <cell r="E50" t="str">
            <v>30/06/2026</v>
          </cell>
          <cell r="F50" t="str">
            <v>O</v>
          </cell>
          <cell r="G50" t="str">
            <v>AF461DC</v>
          </cell>
          <cell r="H50" t="str">
            <v>PALETERO S.PA.3E.71 2+1</v>
          </cell>
          <cell r="I50" t="str">
            <v>Cambiar Cinta Frenos 3Eje Lado Der</v>
          </cell>
          <cell r="J50" t="str">
            <v>Falta Consumos</v>
          </cell>
        </row>
        <row r="51">
          <cell r="A51">
            <v>36635</v>
          </cell>
          <cell r="B51" t="str">
            <v>Correctivo</v>
          </cell>
          <cell r="C51" t="str">
            <v>CIUD</v>
          </cell>
          <cell r="D51" t="str">
            <v>No</v>
          </cell>
          <cell r="E51" t="str">
            <v>30/06/2026</v>
          </cell>
          <cell r="F51" t="str">
            <v>O</v>
          </cell>
          <cell r="G51" t="str">
            <v>AF461DC</v>
          </cell>
          <cell r="H51" t="str">
            <v>PALETERO S.PA.3E.71 2+1</v>
          </cell>
          <cell r="I51" t="str">
            <v>Cambiar Cinta Frenos 2Eje Lado Izq</v>
          </cell>
          <cell r="J51" t="str">
            <v>Falta Consumos</v>
          </cell>
        </row>
        <row r="52">
          <cell r="A52">
            <v>36635</v>
          </cell>
          <cell r="B52" t="str">
            <v>Correctivo</v>
          </cell>
          <cell r="C52" t="str">
            <v>CIUD</v>
          </cell>
          <cell r="D52" t="str">
            <v>No</v>
          </cell>
          <cell r="E52" t="str">
            <v>30/06/2026</v>
          </cell>
          <cell r="F52" t="str">
            <v>O</v>
          </cell>
          <cell r="G52" t="str">
            <v>AF461DC</v>
          </cell>
          <cell r="H52" t="str">
            <v>PALETERO S.PA.3E.71 2+1</v>
          </cell>
          <cell r="I52" t="str">
            <v>Cambiar Cinta Frenos 3Eje Lado Izq</v>
          </cell>
          <cell r="J52" t="str">
            <v>Falta Consumos</v>
          </cell>
        </row>
        <row r="53">
          <cell r="A53">
            <v>36635</v>
          </cell>
          <cell r="B53" t="str">
            <v>Correctivo</v>
          </cell>
          <cell r="C53" t="str">
            <v>CIUD</v>
          </cell>
          <cell r="D53" t="str">
            <v>No</v>
          </cell>
          <cell r="E53" t="str">
            <v>30/06/2026</v>
          </cell>
          <cell r="F53" t="str">
            <v>O</v>
          </cell>
          <cell r="G53" t="str">
            <v>AF461DC</v>
          </cell>
          <cell r="H53" t="str">
            <v>PALETERO S.PA.3E.71 2+1</v>
          </cell>
          <cell r="I53" t="str">
            <v>Cambiar Cinta Frenos 2Eje Lado Der</v>
          </cell>
          <cell r="J53" t="str">
            <v>Falta Consumos</v>
          </cell>
        </row>
        <row r="54">
          <cell r="A54">
            <v>36643</v>
          </cell>
          <cell r="B54" t="str">
            <v>Correctivo</v>
          </cell>
          <cell r="C54" t="str">
            <v>CIUD</v>
          </cell>
          <cell r="D54" t="str">
            <v>No</v>
          </cell>
          <cell r="E54" t="str">
            <v>30/06/2026</v>
          </cell>
          <cell r="F54" t="str">
            <v>O</v>
          </cell>
          <cell r="G54" t="str">
            <v>GVU097</v>
          </cell>
          <cell r="H54" t="str">
            <v>1318</v>
          </cell>
          <cell r="I54" t="str">
            <v>Cambio Luz Alta H1</v>
          </cell>
          <cell r="J54" t="str">
            <v>OK Contabilizar</v>
          </cell>
        </row>
        <row r="55">
          <cell r="A55">
            <v>36643</v>
          </cell>
          <cell r="B55" t="str">
            <v>Correctivo</v>
          </cell>
          <cell r="C55" t="str">
            <v>CIUD</v>
          </cell>
          <cell r="D55" t="str">
            <v>No</v>
          </cell>
          <cell r="E55" t="str">
            <v>30/06/2026</v>
          </cell>
          <cell r="F55" t="str">
            <v>O</v>
          </cell>
          <cell r="G55" t="str">
            <v>GVU097</v>
          </cell>
          <cell r="H55" t="str">
            <v>1318</v>
          </cell>
          <cell r="I55" t="str">
            <v>Cambiar Tapa De Combustible</v>
          </cell>
          <cell r="J55" t="str">
            <v>OK Contabilizar</v>
          </cell>
        </row>
        <row r="56">
          <cell r="A56">
            <v>36654</v>
          </cell>
          <cell r="B56" t="str">
            <v>Correctivo</v>
          </cell>
          <cell r="C56" t="str">
            <v>CIUD</v>
          </cell>
          <cell r="D56" t="str">
            <v>No</v>
          </cell>
          <cell r="E56" t="str">
            <v>30/06/2026</v>
          </cell>
          <cell r="F56" t="str">
            <v>O</v>
          </cell>
          <cell r="G56" t="str">
            <v>OMQ198</v>
          </cell>
          <cell r="H56" t="str">
            <v>ATEGO 1725</v>
          </cell>
          <cell r="I56" t="str">
            <v>Enderezo Aleron Y Coloco Punta De Mecha</v>
          </cell>
          <cell r="J56" t="str">
            <v>Falta Cargar Material (Usuario Robles)</v>
          </cell>
        </row>
        <row r="57">
          <cell r="A57">
            <v>36657</v>
          </cell>
          <cell r="B57" t="str">
            <v>Correctivo</v>
          </cell>
          <cell r="C57" t="str">
            <v>CIUD</v>
          </cell>
          <cell r="D57" t="str">
            <v>No</v>
          </cell>
          <cell r="E57" t="str">
            <v>01/07/2026</v>
          </cell>
          <cell r="F57" t="str">
            <v>O</v>
          </cell>
          <cell r="G57" t="str">
            <v>JXJ303</v>
          </cell>
          <cell r="H57" t="str">
            <v>ATEGO 1418</v>
          </cell>
          <cell r="I57" t="str">
            <v>Cambiar Faro De Giro Delantero Izq</v>
          </cell>
          <cell r="J57" t="str">
            <v>Falta Agregar Grasa</v>
          </cell>
        </row>
        <row r="58">
          <cell r="A58">
            <v>36661</v>
          </cell>
          <cell r="B58" t="str">
            <v>Correctivo</v>
          </cell>
          <cell r="C58" t="str">
            <v>CIUD</v>
          </cell>
          <cell r="D58" t="str">
            <v>No</v>
          </cell>
          <cell r="E58" t="str">
            <v>01/07/2026</v>
          </cell>
          <cell r="F58" t="str">
            <v>O</v>
          </cell>
          <cell r="G58" t="str">
            <v>OJG072</v>
          </cell>
          <cell r="H58" t="str">
            <v>32-CORT. LAT. 3 EJES-1</v>
          </cell>
          <cell r="I58" t="str">
            <v>Cambiar Rodillo Patin Freno</v>
          </cell>
          <cell r="J58" t="str">
            <v xml:space="preserve">Ver Comentario, Contabilizar </v>
          </cell>
        </row>
        <row r="59">
          <cell r="A59">
            <v>36664</v>
          </cell>
          <cell r="B59" t="str">
            <v>Correctivo</v>
          </cell>
          <cell r="C59" t="str">
            <v>CIUD</v>
          </cell>
          <cell r="D59" t="str">
            <v>No</v>
          </cell>
          <cell r="E59" t="str">
            <v>01/07/2026</v>
          </cell>
          <cell r="F59" t="str">
            <v>O</v>
          </cell>
          <cell r="G59" t="str">
            <v>KER727</v>
          </cell>
          <cell r="H59" t="str">
            <v>ATEGO 1418</v>
          </cell>
          <cell r="I59" t="str">
            <v>Cambiar Lámpara Reglamentarias</v>
          </cell>
          <cell r="J59" t="str">
            <v xml:space="preserve">Ver Comentario, Contabilizar </v>
          </cell>
        </row>
        <row r="60">
          <cell r="A60">
            <v>36666</v>
          </cell>
          <cell r="B60" t="str">
            <v>Correctivo</v>
          </cell>
          <cell r="C60" t="str">
            <v>CIUD</v>
          </cell>
          <cell r="D60" t="str">
            <v>No</v>
          </cell>
          <cell r="E60" t="str">
            <v>01/07/2026</v>
          </cell>
          <cell r="F60" t="str">
            <v>O</v>
          </cell>
          <cell r="G60" t="str">
            <v>OAF644</v>
          </cell>
          <cell r="H60" t="str">
            <v>G310</v>
          </cell>
          <cell r="I60" t="str">
            <v>Colocar Embrague (Placa, Disco y Volante Reparado)</v>
          </cell>
          <cell r="J60" t="str">
            <v>OK, ver comentarios</v>
          </cell>
        </row>
        <row r="61">
          <cell r="A61">
            <v>36668</v>
          </cell>
          <cell r="B61" t="str">
            <v>Correctivo</v>
          </cell>
          <cell r="C61" t="str">
            <v>CIUD</v>
          </cell>
          <cell r="D61" t="str">
            <v>No</v>
          </cell>
          <cell r="E61" t="str">
            <v>01/07/2026</v>
          </cell>
          <cell r="F61" t="str">
            <v>O</v>
          </cell>
          <cell r="G61" t="str">
            <v>JYQ969</v>
          </cell>
          <cell r="H61" t="str">
            <v>ATEGO 1418</v>
          </cell>
          <cell r="I61" t="str">
            <v>Cambiar Tapa De Combustible</v>
          </cell>
          <cell r="J61" t="str">
            <v>OK Contabilizar</v>
          </cell>
        </row>
        <row r="62">
          <cell r="A62">
            <v>36668</v>
          </cell>
          <cell r="B62" t="str">
            <v>Correctivo</v>
          </cell>
          <cell r="C62" t="str">
            <v>CIUD</v>
          </cell>
          <cell r="D62" t="str">
            <v>No</v>
          </cell>
          <cell r="E62" t="str">
            <v>01/07/2026</v>
          </cell>
          <cell r="F62" t="str">
            <v>O</v>
          </cell>
          <cell r="G62" t="str">
            <v>JYQ969</v>
          </cell>
          <cell r="H62" t="str">
            <v>ATEGO 1418</v>
          </cell>
          <cell r="I62" t="str">
            <v>Cambiar Tapa De Combustible</v>
          </cell>
          <cell r="J62" t="str">
            <v>OK Contabilizar</v>
          </cell>
        </row>
        <row r="63">
          <cell r="A63">
            <v>36673</v>
          </cell>
          <cell r="B63" t="str">
            <v>Correctivo</v>
          </cell>
          <cell r="C63" t="str">
            <v>CIUD</v>
          </cell>
          <cell r="D63" t="str">
            <v>No</v>
          </cell>
          <cell r="E63" t="str">
            <v>01/07/2026</v>
          </cell>
          <cell r="F63" t="str">
            <v>O</v>
          </cell>
          <cell r="G63" t="str">
            <v>KJH882</v>
          </cell>
          <cell r="H63" t="str">
            <v>AXOR 1933</v>
          </cell>
          <cell r="I63" t="str">
            <v>Cambiar lampara 3w 24v</v>
          </cell>
          <cell r="J63" t="str">
            <v>Falta Material</v>
          </cell>
        </row>
        <row r="64">
          <cell r="A64">
            <v>36674</v>
          </cell>
          <cell r="B64" t="str">
            <v>Preventivo</v>
          </cell>
          <cell r="C64" t="str">
            <v>CIUD</v>
          </cell>
          <cell r="D64" t="str">
            <v>No</v>
          </cell>
          <cell r="E64" t="str">
            <v>01/07/2026</v>
          </cell>
          <cell r="F64" t="str">
            <v>O</v>
          </cell>
          <cell r="G64" t="str">
            <v>KJH882</v>
          </cell>
          <cell r="H64" t="str">
            <v>AXOR 1933</v>
          </cell>
          <cell r="I64" t="str">
            <v>Cambio De Aceite De Motor Y Filtro Aceite</v>
          </cell>
          <cell r="J64" t="str">
            <v>OK Contabilizar</v>
          </cell>
        </row>
        <row r="65">
          <cell r="A65">
            <v>36674</v>
          </cell>
          <cell r="B65" t="str">
            <v>Preventivo</v>
          </cell>
          <cell r="C65" t="str">
            <v>CIUD</v>
          </cell>
          <cell r="D65" t="str">
            <v>No</v>
          </cell>
          <cell r="E65" t="str">
            <v>01/07/2026</v>
          </cell>
          <cell r="F65" t="str">
            <v>O</v>
          </cell>
          <cell r="G65" t="str">
            <v>KJH882</v>
          </cell>
          <cell r="H65" t="str">
            <v>AXOR 1933</v>
          </cell>
          <cell r="I65" t="str">
            <v>Cambio De Aceite De Motor Y Filtro Aceite</v>
          </cell>
          <cell r="J65" t="str">
            <v>OK Contabilizar</v>
          </cell>
        </row>
        <row r="66">
          <cell r="A66">
            <v>36681</v>
          </cell>
          <cell r="B66" t="str">
            <v>Correctivo</v>
          </cell>
          <cell r="C66" t="str">
            <v>SRAF</v>
          </cell>
          <cell r="D66" t="str">
            <v>No</v>
          </cell>
          <cell r="E66" t="str">
            <v>01/07/2026</v>
          </cell>
          <cell r="F66" t="str">
            <v>O</v>
          </cell>
          <cell r="G66" t="str">
            <v>TLH736</v>
          </cell>
          <cell r="H66" t="str">
            <v>710</v>
          </cell>
          <cell r="I66" t="str">
            <v>Cambiar Cable Freno De Mano</v>
          </cell>
          <cell r="J66" t="str">
            <v>Falta Material</v>
          </cell>
        </row>
        <row r="67">
          <cell r="A67">
            <v>36687</v>
          </cell>
          <cell r="B67" t="str">
            <v>Correctivo</v>
          </cell>
          <cell r="C67" t="str">
            <v>CIUD</v>
          </cell>
          <cell r="D67" t="str">
            <v>No</v>
          </cell>
          <cell r="E67" t="str">
            <v>01/07/2026</v>
          </cell>
          <cell r="F67" t="str">
            <v>O</v>
          </cell>
          <cell r="G67" t="str">
            <v>AG079GB</v>
          </cell>
          <cell r="H67" t="str">
            <v>TECTOR EVO 170E28</v>
          </cell>
          <cell r="I67" t="str">
            <v>Cambiar Vejiga Alfajor Eje Numatico</v>
          </cell>
          <cell r="J67" t="str">
            <v>Falta Material</v>
          </cell>
        </row>
        <row r="68">
          <cell r="A68">
            <v>36690</v>
          </cell>
          <cell r="B68" t="str">
            <v>Preventivo</v>
          </cell>
          <cell r="C68" t="str">
            <v>CIUD</v>
          </cell>
          <cell r="D68" t="str">
            <v>No</v>
          </cell>
          <cell r="E68" t="str">
            <v>01/07/2026</v>
          </cell>
          <cell r="F68" t="str">
            <v>O</v>
          </cell>
          <cell r="G68" t="str">
            <v>AF746EN</v>
          </cell>
          <cell r="H68" t="str">
            <v>TECTOR EVO 170E28</v>
          </cell>
          <cell r="I68" t="str">
            <v>Cambio De Aceite De Motor Y Filtro Aceite</v>
          </cell>
          <cell r="J68" t="str">
            <v>OK Contabilizar</v>
          </cell>
        </row>
        <row r="69">
          <cell r="A69">
            <v>36694</v>
          </cell>
          <cell r="B69" t="str">
            <v>Correctivo</v>
          </cell>
          <cell r="C69" t="str">
            <v>CIUD</v>
          </cell>
          <cell r="D69" t="str">
            <v>No</v>
          </cell>
          <cell r="E69" t="str">
            <v>01/07/2026</v>
          </cell>
          <cell r="F69" t="str">
            <v>O</v>
          </cell>
          <cell r="G69" t="str">
            <v>HUY047</v>
          </cell>
          <cell r="H69" t="str">
            <v>1318</v>
          </cell>
          <cell r="I69" t="str">
            <v>Coloco Cubierta Usada TDI  - Armado y Desarmado</v>
          </cell>
          <cell r="J69" t="str">
            <v>Falta Material</v>
          </cell>
        </row>
        <row r="70">
          <cell r="A70">
            <v>37003</v>
          </cell>
          <cell r="B70" t="str">
            <v>Correctivo</v>
          </cell>
          <cell r="C70" t="str">
            <v>BSAS</v>
          </cell>
          <cell r="D70" t="str">
            <v>No</v>
          </cell>
          <cell r="E70" t="str">
            <v>01/07/2026</v>
          </cell>
          <cell r="F70" t="str">
            <v>O</v>
          </cell>
          <cell r="G70" t="str">
            <v>OHH595</v>
          </cell>
          <cell r="H70" t="str">
            <v>ATRON 1720</v>
          </cell>
          <cell r="I70" t="str">
            <v>Cambiar ruedas</v>
          </cell>
          <cell r="J70" t="str">
            <v>Falta Material</v>
          </cell>
        </row>
        <row r="71">
          <cell r="A71">
            <v>37011</v>
          </cell>
          <cell r="B71" t="str">
            <v>Correctivo</v>
          </cell>
          <cell r="C71" t="str">
            <v>BSAS</v>
          </cell>
          <cell r="D71" t="str">
            <v>No</v>
          </cell>
          <cell r="E71" t="str">
            <v>01/07/2026</v>
          </cell>
          <cell r="F71" t="str">
            <v>O</v>
          </cell>
          <cell r="G71" t="str">
            <v>FGV321</v>
          </cell>
          <cell r="H71" t="str">
            <v>1218</v>
          </cell>
          <cell r="I71" t="str">
            <v>Cambiar lamparas</v>
          </cell>
          <cell r="J71" t="str">
            <v>Falta Consumos</v>
          </cell>
        </row>
        <row r="72">
          <cell r="A72">
            <v>36699</v>
          </cell>
          <cell r="B72" t="str">
            <v>Preventivo</v>
          </cell>
          <cell r="C72" t="str">
            <v>CIUD</v>
          </cell>
          <cell r="D72" t="str">
            <v>No</v>
          </cell>
          <cell r="E72" t="str">
            <v>02/07/2026</v>
          </cell>
          <cell r="F72" t="str">
            <v>O</v>
          </cell>
          <cell r="G72" t="str">
            <v>GDR526</v>
          </cell>
          <cell r="H72" t="str">
            <v>1620</v>
          </cell>
          <cell r="I72" t="str">
            <v>Cambio De Aceite De Motor Y Filtro Aceite</v>
          </cell>
          <cell r="J72" t="str">
            <v>OK Contabilizar</v>
          </cell>
        </row>
        <row r="73">
          <cell r="A73">
            <v>36699</v>
          </cell>
          <cell r="B73" t="str">
            <v>Preventivo</v>
          </cell>
          <cell r="C73" t="str">
            <v>CIUD</v>
          </cell>
          <cell r="D73" t="str">
            <v>No</v>
          </cell>
          <cell r="E73" t="str">
            <v>02/07/2026</v>
          </cell>
          <cell r="F73" t="str">
            <v>O</v>
          </cell>
          <cell r="G73" t="str">
            <v>GDR526</v>
          </cell>
          <cell r="H73" t="str">
            <v>1620</v>
          </cell>
          <cell r="I73" t="str">
            <v>Cambio De Aceite De Motor Y Filtro Aceite</v>
          </cell>
          <cell r="J73" t="str">
            <v>OK Contabilizar</v>
          </cell>
        </row>
        <row r="74">
          <cell r="A74">
            <v>36700</v>
          </cell>
          <cell r="B74" t="str">
            <v>Preventivo</v>
          </cell>
          <cell r="C74" t="str">
            <v>CIUD</v>
          </cell>
          <cell r="D74" t="str">
            <v>No</v>
          </cell>
          <cell r="E74" t="str">
            <v>02/07/2026</v>
          </cell>
          <cell r="F74" t="str">
            <v>O</v>
          </cell>
          <cell r="G74" t="str">
            <v>GDR526</v>
          </cell>
          <cell r="H74" t="str">
            <v>1620</v>
          </cell>
          <cell r="I74" t="str">
            <v>Cambio De Filtro Gas Oíl Y Trampa De Agua</v>
          </cell>
          <cell r="J74" t="str">
            <v xml:space="preserve">Ver Comentario, Contabilizar </v>
          </cell>
        </row>
        <row r="75">
          <cell r="A75">
            <v>36850</v>
          </cell>
          <cell r="B75" t="str">
            <v>Tercero</v>
          </cell>
          <cell r="C75" t="str">
            <v>MNZA</v>
          </cell>
          <cell r="D75" t="str">
            <v>No</v>
          </cell>
          <cell r="E75" t="str">
            <v>02/07/2026</v>
          </cell>
          <cell r="F75" t="str">
            <v>O</v>
          </cell>
          <cell r="G75" t="str">
            <v>AG255NH</v>
          </cell>
          <cell r="H75" t="str">
            <v>FTHDCFW3</v>
          </cell>
          <cell r="I75" t="str">
            <v>Cambiar Hoja De Elastico</v>
          </cell>
          <cell r="J75" t="str">
            <v>Falta Material</v>
          </cell>
        </row>
        <row r="76">
          <cell r="A76">
            <v>36851</v>
          </cell>
          <cell r="B76" t="str">
            <v>Correctivo</v>
          </cell>
          <cell r="C76" t="str">
            <v>MNZA</v>
          </cell>
          <cell r="D76" t="str">
            <v>No</v>
          </cell>
          <cell r="E76" t="str">
            <v>02/07/2026</v>
          </cell>
          <cell r="F76" t="str">
            <v>O</v>
          </cell>
          <cell r="G76" t="str">
            <v>LFK338</v>
          </cell>
          <cell r="H76" t="str">
            <v>AXOR 2035</v>
          </cell>
          <cell r="I76" t="str">
            <v>Cambiar Filtro De Aceite Motor</v>
          </cell>
          <cell r="J76" t="str">
            <v>OK Contabilizar</v>
          </cell>
        </row>
        <row r="77">
          <cell r="A77">
            <v>36852</v>
          </cell>
          <cell r="B77" t="str">
            <v>Correctivo</v>
          </cell>
          <cell r="C77" t="str">
            <v>MNZA</v>
          </cell>
          <cell r="D77" t="str">
            <v>No</v>
          </cell>
          <cell r="E77" t="str">
            <v>02/07/2026</v>
          </cell>
          <cell r="F77" t="str">
            <v>O</v>
          </cell>
          <cell r="G77" t="str">
            <v>GFZ650</v>
          </cell>
          <cell r="H77" t="str">
            <v>1624</v>
          </cell>
          <cell r="I77" t="str">
            <v>Cambiar Palanca Multifuncion 24V</v>
          </cell>
          <cell r="J77" t="str">
            <v>OK Contabilizar</v>
          </cell>
        </row>
        <row r="78">
          <cell r="A78">
            <v>36861</v>
          </cell>
          <cell r="B78" t="str">
            <v>Correctivo</v>
          </cell>
          <cell r="C78" t="str">
            <v>CIUD</v>
          </cell>
          <cell r="D78" t="str">
            <v>No</v>
          </cell>
          <cell r="E78" t="str">
            <v>02/07/2026</v>
          </cell>
          <cell r="F78" t="str">
            <v>O</v>
          </cell>
          <cell r="G78" t="str">
            <v>AF338VO</v>
          </cell>
          <cell r="H78" t="str">
            <v>ATEGO 1419</v>
          </cell>
          <cell r="I78" t="str">
            <v>Cambiar Faros Laterales</v>
          </cell>
          <cell r="J78" t="str">
            <v>Falta Material</v>
          </cell>
        </row>
        <row r="79">
          <cell r="A79">
            <v>36997</v>
          </cell>
          <cell r="B79" t="str">
            <v>Correctivo</v>
          </cell>
          <cell r="C79" t="str">
            <v>BSAS</v>
          </cell>
          <cell r="D79" t="str">
            <v>No</v>
          </cell>
          <cell r="E79" t="str">
            <v>02/07/2026</v>
          </cell>
          <cell r="F79" t="str">
            <v>O</v>
          </cell>
          <cell r="G79" t="str">
            <v>AF444TX</v>
          </cell>
          <cell r="H79" t="str">
            <v>TECTOR EVO 170E28</v>
          </cell>
          <cell r="I79" t="str">
            <v>Cambiar Lampara De Giro</v>
          </cell>
          <cell r="J79" t="str">
            <v>Falta Consumos</v>
          </cell>
        </row>
        <row r="80">
          <cell r="A80">
            <v>36997</v>
          </cell>
          <cell r="B80" t="str">
            <v>Correctivo</v>
          </cell>
          <cell r="C80" t="str">
            <v>BSAS</v>
          </cell>
          <cell r="D80" t="str">
            <v>No</v>
          </cell>
          <cell r="E80" t="str">
            <v>02/07/2026</v>
          </cell>
          <cell r="F80" t="str">
            <v>O</v>
          </cell>
          <cell r="G80" t="str">
            <v>AF444TX</v>
          </cell>
          <cell r="H80" t="str">
            <v>TECTOR EVO 170E28</v>
          </cell>
          <cell r="I80" t="str">
            <v>Cambiar lampara h7 24v</v>
          </cell>
          <cell r="J80" t="str">
            <v>Falta Consumos</v>
          </cell>
        </row>
        <row r="81">
          <cell r="A81">
            <v>36888</v>
          </cell>
          <cell r="B81" t="str">
            <v>Correctivo</v>
          </cell>
          <cell r="C81" t="str">
            <v>CIUD</v>
          </cell>
          <cell r="D81" t="str">
            <v>No</v>
          </cell>
          <cell r="E81" t="str">
            <v>05/07/2026</v>
          </cell>
          <cell r="F81" t="str">
            <v>O</v>
          </cell>
          <cell r="G81" t="str">
            <v>AF491HL</v>
          </cell>
          <cell r="H81" t="str">
            <v>SPRINTER 316 CDI FURGON 3665</v>
          </cell>
          <cell r="I81" t="str">
            <v>Cambiar Matafuego</v>
          </cell>
          <cell r="J81" t="str">
            <v>No sale de pañol, Contabilizar</v>
          </cell>
        </row>
        <row r="82">
          <cell r="A82">
            <v>36888</v>
          </cell>
          <cell r="B82" t="str">
            <v>Correctivo</v>
          </cell>
          <cell r="C82" t="str">
            <v>CIUD</v>
          </cell>
          <cell r="D82" t="str">
            <v>No</v>
          </cell>
          <cell r="E82" t="str">
            <v>05/07/2026</v>
          </cell>
          <cell r="F82" t="str">
            <v>O</v>
          </cell>
          <cell r="G82" t="str">
            <v>AF491HL</v>
          </cell>
          <cell r="H82" t="str">
            <v>SPRINTER 316 CDI FURGON 3665</v>
          </cell>
          <cell r="I82" t="str">
            <v>Cambiar Matafuego</v>
          </cell>
          <cell r="J82" t="str">
            <v>No sale de pañol, Contabilizar</v>
          </cell>
        </row>
        <row r="83">
          <cell r="A83">
            <v>36891</v>
          </cell>
          <cell r="B83" t="str">
            <v>Preventivo</v>
          </cell>
          <cell r="C83" t="str">
            <v>CIUD</v>
          </cell>
          <cell r="D83" t="str">
            <v>No</v>
          </cell>
          <cell r="E83" t="str">
            <v>05/07/2026</v>
          </cell>
          <cell r="F83" t="str">
            <v>O</v>
          </cell>
          <cell r="G83" t="str">
            <v>AD426HV</v>
          </cell>
          <cell r="H83" t="str">
            <v>AXOR 2541</v>
          </cell>
          <cell r="I83" t="str">
            <v>Cambio De Aceite De Motor Y Filtro Aceite</v>
          </cell>
          <cell r="J83" t="str">
            <v>OK Contabilizar</v>
          </cell>
        </row>
        <row r="84">
          <cell r="A84">
            <v>36901</v>
          </cell>
          <cell r="B84" t="str">
            <v>Correctivo</v>
          </cell>
          <cell r="C84" t="str">
            <v>SRAF</v>
          </cell>
          <cell r="D84" t="str">
            <v>No</v>
          </cell>
          <cell r="E84" t="str">
            <v>05/07/2026</v>
          </cell>
          <cell r="F84" t="str">
            <v>O</v>
          </cell>
          <cell r="G84" t="str">
            <v>OJG075</v>
          </cell>
          <cell r="H84" t="str">
            <v>32-CORT. LAT. 3 EJES-1</v>
          </cell>
          <cell r="I84" t="str">
            <v>Cambiar Lona</v>
          </cell>
          <cell r="J84" t="str">
            <v>Falta Material</v>
          </cell>
        </row>
        <row r="85">
          <cell r="A85">
            <v>36901</v>
          </cell>
          <cell r="B85" t="str">
            <v>Correctivo</v>
          </cell>
          <cell r="C85" t="str">
            <v>SRAF</v>
          </cell>
          <cell r="D85" t="str">
            <v>No</v>
          </cell>
          <cell r="E85" t="str">
            <v>05/07/2026</v>
          </cell>
          <cell r="F85" t="str">
            <v>O</v>
          </cell>
          <cell r="G85" t="str">
            <v>OJG075</v>
          </cell>
          <cell r="H85" t="str">
            <v>32-CORT. LAT. 3 EJES-1</v>
          </cell>
          <cell r="I85" t="str">
            <v>Cambiar Taco De Carroceria</v>
          </cell>
          <cell r="J85" t="str">
            <v>Falta Material</v>
          </cell>
        </row>
        <row r="86">
          <cell r="A86">
            <v>36908</v>
          </cell>
          <cell r="B86" t="str">
            <v>Correctivo</v>
          </cell>
          <cell r="C86" t="str">
            <v>CIUD</v>
          </cell>
          <cell r="D86" t="str">
            <v>No</v>
          </cell>
          <cell r="E86" t="str">
            <v>05/07/2026</v>
          </cell>
          <cell r="F86" t="str">
            <v>O</v>
          </cell>
          <cell r="G86" t="str">
            <v>KKZ666</v>
          </cell>
          <cell r="H86" t="str">
            <v>FTHDCFW3</v>
          </cell>
          <cell r="I86" t="str">
            <v>Colocar vejiga Eje Neumatico deTrabajo Lado Der</v>
          </cell>
          <cell r="J86" t="str">
            <v xml:space="preserve">Ver Comentario, Contabilizar </v>
          </cell>
        </row>
        <row r="87">
          <cell r="A87">
            <v>36909</v>
          </cell>
          <cell r="B87" t="str">
            <v>Correctivo</v>
          </cell>
          <cell r="C87" t="str">
            <v>MNZA</v>
          </cell>
          <cell r="D87" t="str">
            <v>No</v>
          </cell>
          <cell r="E87" t="str">
            <v>05/07/2026</v>
          </cell>
          <cell r="F87" t="str">
            <v>O</v>
          </cell>
          <cell r="G87" t="str">
            <v>LTS288</v>
          </cell>
          <cell r="H87" t="str">
            <v>ATEGO 1725</v>
          </cell>
          <cell r="I87" t="str">
            <v>Cambiar Bajada De Vigia Ldo Derecho</v>
          </cell>
          <cell r="J87" t="str">
            <v>Falta Material</v>
          </cell>
        </row>
        <row r="88">
          <cell r="A88">
            <v>36912</v>
          </cell>
          <cell r="B88" t="str">
            <v>Tercero</v>
          </cell>
          <cell r="C88" t="str">
            <v>SRAF</v>
          </cell>
          <cell r="D88" t="str">
            <v>No</v>
          </cell>
          <cell r="E88" t="str">
            <v>05/07/2026</v>
          </cell>
          <cell r="F88" t="str">
            <v>O</v>
          </cell>
          <cell r="G88" t="str">
            <v>BNW644</v>
          </cell>
          <cell r="H88" t="str">
            <v>710</v>
          </cell>
          <cell r="I88" t="str">
            <v>Cambiar Centro De Elastico</v>
          </cell>
          <cell r="J88" t="str">
            <v>OK Contabilizar</v>
          </cell>
        </row>
        <row r="89">
          <cell r="A89">
            <v>36916</v>
          </cell>
          <cell r="B89" t="str">
            <v>Correctivo</v>
          </cell>
          <cell r="C89" t="str">
            <v>MNZA</v>
          </cell>
          <cell r="D89" t="str">
            <v>No</v>
          </cell>
          <cell r="E89" t="str">
            <v>05/07/2026</v>
          </cell>
          <cell r="F89" t="str">
            <v>O</v>
          </cell>
          <cell r="G89" t="str">
            <v>KER728</v>
          </cell>
          <cell r="H89" t="str">
            <v>ATEGO 1725</v>
          </cell>
          <cell r="I89" t="str">
            <v>Colocar Tornillo a Traba De Porton Trasero</v>
          </cell>
          <cell r="J89" t="str">
            <v>Falta Material</v>
          </cell>
        </row>
        <row r="90">
          <cell r="A90">
            <v>36919</v>
          </cell>
          <cell r="B90" t="str">
            <v>Correctivo</v>
          </cell>
          <cell r="C90" t="str">
            <v>MNZA</v>
          </cell>
          <cell r="D90" t="str">
            <v>No</v>
          </cell>
          <cell r="E90" t="str">
            <v>05/07/2026</v>
          </cell>
          <cell r="F90" t="str">
            <v>O</v>
          </cell>
          <cell r="G90" t="str">
            <v>AG269WH</v>
          </cell>
          <cell r="H90" t="str">
            <v>ATEGO 1729</v>
          </cell>
          <cell r="I90" t="str">
            <v>Colocar Tornillo a Babero Izq</v>
          </cell>
          <cell r="J90" t="str">
            <v>OK Contabilizar</v>
          </cell>
        </row>
        <row r="91">
          <cell r="A91">
            <v>36935</v>
          </cell>
          <cell r="B91" t="str">
            <v>Correctivo</v>
          </cell>
          <cell r="C91" t="str">
            <v>CIUD</v>
          </cell>
          <cell r="D91" t="str">
            <v>No</v>
          </cell>
          <cell r="E91" t="str">
            <v>05/07/2026</v>
          </cell>
          <cell r="F91" t="str">
            <v>O</v>
          </cell>
          <cell r="G91" t="str">
            <v>AF338VO</v>
          </cell>
          <cell r="H91" t="str">
            <v>ATEGO 1419</v>
          </cell>
          <cell r="I91" t="str">
            <v>Cambiar Cubierta BDI - 1/2 Uso Armado Y Desarmado</v>
          </cell>
          <cell r="J91" t="str">
            <v>Falta Material</v>
          </cell>
        </row>
        <row r="92">
          <cell r="A92">
            <v>36936</v>
          </cell>
          <cell r="B92" t="str">
            <v>Tercero</v>
          </cell>
          <cell r="C92" t="str">
            <v>CIUD</v>
          </cell>
          <cell r="D92" t="str">
            <v>No</v>
          </cell>
          <cell r="E92" t="str">
            <v>05/07/2026</v>
          </cell>
          <cell r="F92" t="str">
            <v>O</v>
          </cell>
          <cell r="G92" t="str">
            <v>OMQ198</v>
          </cell>
          <cell r="H92" t="str">
            <v>ATEGO 1725</v>
          </cell>
          <cell r="I92" t="str">
            <v>Cambiar bujes de elasticos traseros</v>
          </cell>
          <cell r="J92" t="str">
            <v>Tercero, Contabilizar</v>
          </cell>
        </row>
        <row r="93">
          <cell r="A93">
            <v>36936</v>
          </cell>
          <cell r="B93" t="str">
            <v>Tercero</v>
          </cell>
          <cell r="C93" t="str">
            <v>CIUD</v>
          </cell>
          <cell r="D93" t="str">
            <v>No</v>
          </cell>
          <cell r="E93" t="str">
            <v>05/07/2026</v>
          </cell>
          <cell r="F93" t="str">
            <v>O</v>
          </cell>
          <cell r="G93" t="str">
            <v>OMQ198</v>
          </cell>
          <cell r="H93" t="str">
            <v>ATEGO 1725</v>
          </cell>
          <cell r="I93" t="str">
            <v>Cambiar Piton De Centro</v>
          </cell>
          <cell r="J93" t="str">
            <v>Tercero, Contabilizar</v>
          </cell>
        </row>
        <row r="94">
          <cell r="A94">
            <v>36936</v>
          </cell>
          <cell r="B94" t="str">
            <v>Tercero</v>
          </cell>
          <cell r="C94" t="str">
            <v>CIUD</v>
          </cell>
          <cell r="D94" t="str">
            <v>No</v>
          </cell>
          <cell r="E94" t="str">
            <v>05/07/2026</v>
          </cell>
          <cell r="F94" t="str">
            <v>O</v>
          </cell>
          <cell r="G94" t="str">
            <v>OMQ198</v>
          </cell>
          <cell r="H94" t="str">
            <v>ATEGO 1725</v>
          </cell>
          <cell r="I94" t="str">
            <v>Colocar perno de tensores de ejes</v>
          </cell>
          <cell r="J94" t="str">
            <v>Tercero, Contabilizar</v>
          </cell>
        </row>
        <row r="95">
          <cell r="A95">
            <v>36937</v>
          </cell>
          <cell r="B95" t="str">
            <v>Tercero</v>
          </cell>
          <cell r="C95" t="str">
            <v>CIUD</v>
          </cell>
          <cell r="D95" t="str">
            <v>No</v>
          </cell>
          <cell r="E95" t="str">
            <v>05/07/2026</v>
          </cell>
          <cell r="F95" t="str">
            <v>O</v>
          </cell>
          <cell r="G95" t="str">
            <v>AD367QF</v>
          </cell>
          <cell r="H95" t="str">
            <v>S.A.P.3E.71</v>
          </cell>
          <cell r="I95" t="str">
            <v>Balancines Sacar Embujar y Colocar</v>
          </cell>
          <cell r="J95" t="str">
            <v>cargado</v>
          </cell>
        </row>
        <row r="96">
          <cell r="A96">
            <v>36937</v>
          </cell>
          <cell r="B96" t="str">
            <v>Tercero</v>
          </cell>
          <cell r="C96" t="str">
            <v>CIUD</v>
          </cell>
          <cell r="D96" t="str">
            <v>No</v>
          </cell>
          <cell r="E96" t="str">
            <v>05/07/2026</v>
          </cell>
          <cell r="F96" t="str">
            <v>O</v>
          </cell>
          <cell r="G96" t="str">
            <v>AD367QF</v>
          </cell>
          <cell r="H96" t="str">
            <v>S.A.P.3E.71</v>
          </cell>
          <cell r="I96" t="str">
            <v>Coloco Perno Y Bujes De Eje De Balancion</v>
          </cell>
          <cell r="J96" t="str">
            <v>cargado</v>
          </cell>
        </row>
        <row r="97">
          <cell r="A97">
            <v>36937</v>
          </cell>
          <cell r="B97" t="str">
            <v>Tercero</v>
          </cell>
          <cell r="C97" t="str">
            <v>CIUD</v>
          </cell>
          <cell r="D97" t="str">
            <v>No</v>
          </cell>
          <cell r="E97" t="str">
            <v>05/07/2026</v>
          </cell>
          <cell r="F97" t="str">
            <v>O</v>
          </cell>
          <cell r="G97" t="str">
            <v>AD367QF</v>
          </cell>
          <cell r="H97" t="str">
            <v>S.A.P.3E.71</v>
          </cell>
          <cell r="I97" t="str">
            <v>Balancines Sacar Embujar y Colocar</v>
          </cell>
          <cell r="J97" t="str">
            <v>cargado</v>
          </cell>
        </row>
        <row r="98">
          <cell r="A98">
            <v>36937</v>
          </cell>
          <cell r="B98" t="str">
            <v>Tercero</v>
          </cell>
          <cell r="C98" t="str">
            <v>CIUD</v>
          </cell>
          <cell r="D98" t="str">
            <v>No</v>
          </cell>
          <cell r="E98" t="str">
            <v>05/07/2026</v>
          </cell>
          <cell r="F98" t="str">
            <v>O</v>
          </cell>
          <cell r="G98" t="str">
            <v>AD367QF</v>
          </cell>
          <cell r="H98" t="str">
            <v>S.A.P.3E.71</v>
          </cell>
          <cell r="I98" t="str">
            <v>Coloco Perno Y Bujes De Eje De Balancion</v>
          </cell>
          <cell r="J98" t="str">
            <v>cargado</v>
          </cell>
        </row>
        <row r="99">
          <cell r="A99">
            <v>37122</v>
          </cell>
          <cell r="B99" t="str">
            <v>Correctivo</v>
          </cell>
          <cell r="C99" t="str">
            <v>BSAS</v>
          </cell>
          <cell r="D99" t="str">
            <v>No</v>
          </cell>
          <cell r="E99" t="str">
            <v>05/07/2026</v>
          </cell>
          <cell r="F99" t="str">
            <v>O</v>
          </cell>
          <cell r="G99" t="str">
            <v>AG095MQ</v>
          </cell>
          <cell r="H99" t="str">
            <v>ATEGO 1721</v>
          </cell>
          <cell r="I99" t="str">
            <v>Colocar Vidrio de Espejo Inferior Izquierdo</v>
          </cell>
          <cell r="J99" t="str">
            <v>Falta Consumo</v>
          </cell>
        </row>
        <row r="100">
          <cell r="A100">
            <v>37123</v>
          </cell>
          <cell r="B100" t="str">
            <v>Correctivo</v>
          </cell>
          <cell r="C100" t="str">
            <v>BSAS</v>
          </cell>
          <cell r="D100" t="str">
            <v>No</v>
          </cell>
          <cell r="E100" t="str">
            <v>05/07/2026</v>
          </cell>
          <cell r="F100" t="str">
            <v>O</v>
          </cell>
          <cell r="G100" t="str">
            <v>JAD357</v>
          </cell>
          <cell r="H100" t="str">
            <v>ATEGO 1725</v>
          </cell>
          <cell r="I100" t="str">
            <v>Colocar Grafica TDU</v>
          </cell>
          <cell r="J100" t="str">
            <v>Falta Material</v>
          </cell>
        </row>
        <row r="101">
          <cell r="A101">
            <v>37124</v>
          </cell>
          <cell r="B101" t="str">
            <v>Correctivo</v>
          </cell>
          <cell r="C101" t="str">
            <v>BSAS</v>
          </cell>
          <cell r="D101" t="str">
            <v>No</v>
          </cell>
          <cell r="E101" t="str">
            <v>05/07/2026</v>
          </cell>
          <cell r="F101" t="str">
            <v>O</v>
          </cell>
          <cell r="G101" t="str">
            <v>JEB635</v>
          </cell>
          <cell r="H101" t="str">
            <v>ATEGO 1725</v>
          </cell>
          <cell r="I101" t="str">
            <v>Colocar Grafica TDU</v>
          </cell>
          <cell r="J101" t="str">
            <v>Falta Material</v>
          </cell>
        </row>
        <row r="102">
          <cell r="A102">
            <v>37125</v>
          </cell>
          <cell r="B102" t="str">
            <v>Correctivo</v>
          </cell>
          <cell r="C102" t="str">
            <v>BSAS</v>
          </cell>
          <cell r="D102" t="str">
            <v>No</v>
          </cell>
          <cell r="E102" t="str">
            <v>05/07/2026</v>
          </cell>
          <cell r="F102" t="str">
            <v>O</v>
          </cell>
          <cell r="G102" t="str">
            <v>AF746EM</v>
          </cell>
          <cell r="H102" t="str">
            <v>170E30TLA22 EBS</v>
          </cell>
          <cell r="I102" t="str">
            <v>Colocar Grafica TDU</v>
          </cell>
          <cell r="J102" t="str">
            <v>Falta Material</v>
          </cell>
        </row>
        <row r="103">
          <cell r="A103">
            <v>37141</v>
          </cell>
          <cell r="B103" t="str">
            <v>Correctivo</v>
          </cell>
          <cell r="C103" t="str">
            <v>BSAS</v>
          </cell>
          <cell r="D103" t="str">
            <v>No</v>
          </cell>
          <cell r="E103" t="str">
            <v>05/07/2026</v>
          </cell>
          <cell r="F103" t="str">
            <v>O</v>
          </cell>
          <cell r="G103" t="str">
            <v>GRE072</v>
          </cell>
          <cell r="H103" t="str">
            <v>1624</v>
          </cell>
          <cell r="I103" t="str">
            <v>Cambiar Baterias</v>
          </cell>
          <cell r="J103" t="str">
            <v>Falta Material</v>
          </cell>
        </row>
        <row r="104">
          <cell r="A104">
            <v>37032</v>
          </cell>
          <cell r="B104" t="str">
            <v>Correctivo</v>
          </cell>
          <cell r="C104" t="str">
            <v>CIUD</v>
          </cell>
          <cell r="D104" t="str">
            <v>No</v>
          </cell>
          <cell r="E104" t="str">
            <v>06/07/2026</v>
          </cell>
          <cell r="F104" t="str">
            <v>O</v>
          </cell>
          <cell r="G104" t="str">
            <v>HNE430</v>
          </cell>
          <cell r="H104" t="str">
            <v>1318</v>
          </cell>
          <cell r="I104" t="str">
            <v>Cambiar Bulbo Aceite</v>
          </cell>
          <cell r="J104">
            <v>0</v>
          </cell>
        </row>
        <row r="105">
          <cell r="A105">
            <v>37135</v>
          </cell>
          <cell r="B105" t="str">
            <v>Correctivo</v>
          </cell>
          <cell r="C105" t="str">
            <v>BSAS</v>
          </cell>
          <cell r="D105" t="str">
            <v>No</v>
          </cell>
          <cell r="E105" t="str">
            <v>06/07/2026</v>
          </cell>
          <cell r="F105" t="str">
            <v>O</v>
          </cell>
          <cell r="G105" t="str">
            <v>OJG064</v>
          </cell>
          <cell r="H105" t="str">
            <v>ATRON 1720</v>
          </cell>
          <cell r="I105" t="str">
            <v>Colocar Grafica TDU</v>
          </cell>
          <cell r="J105" t="str">
            <v>Falta Material</v>
          </cell>
        </row>
        <row r="106">
          <cell r="A106">
            <v>37136</v>
          </cell>
          <cell r="B106" t="str">
            <v>Correctivo</v>
          </cell>
          <cell r="C106" t="str">
            <v>BSAS</v>
          </cell>
          <cell r="D106" t="str">
            <v>No</v>
          </cell>
          <cell r="E106" t="str">
            <v>06/07/2026</v>
          </cell>
          <cell r="F106" t="str">
            <v>O</v>
          </cell>
          <cell r="G106" t="str">
            <v>OHH592</v>
          </cell>
          <cell r="H106" t="str">
            <v>ATRON 1720</v>
          </cell>
          <cell r="I106" t="str">
            <v>Colocar Grafica TDU</v>
          </cell>
          <cell r="J106" t="str">
            <v>Falta Material</v>
          </cell>
        </row>
        <row r="107">
          <cell r="A107">
            <v>37137</v>
          </cell>
          <cell r="B107" t="str">
            <v>Correctivo</v>
          </cell>
          <cell r="C107" t="str">
            <v>BSAS</v>
          </cell>
          <cell r="D107" t="str">
            <v>No</v>
          </cell>
          <cell r="E107" t="str">
            <v>06/07/2026</v>
          </cell>
          <cell r="F107" t="str">
            <v>O</v>
          </cell>
          <cell r="G107" t="str">
            <v>OHH597</v>
          </cell>
          <cell r="H107" t="str">
            <v>ATRON 1720</v>
          </cell>
          <cell r="I107" t="str">
            <v>Colocar Grafica TDU</v>
          </cell>
          <cell r="J107" t="str">
            <v>Falta Material</v>
          </cell>
        </row>
        <row r="108">
          <cell r="A108">
            <v>37138</v>
          </cell>
          <cell r="B108" t="str">
            <v>Correctivo</v>
          </cell>
          <cell r="C108" t="str">
            <v>BSAS</v>
          </cell>
          <cell r="D108" t="str">
            <v>No</v>
          </cell>
          <cell r="E108" t="str">
            <v>06/07/2026</v>
          </cell>
          <cell r="F108" t="str">
            <v>O</v>
          </cell>
          <cell r="G108" t="str">
            <v>OHH589</v>
          </cell>
          <cell r="H108" t="str">
            <v>ATRON 1720</v>
          </cell>
          <cell r="I108" t="str">
            <v>Colocar Grafica TDU</v>
          </cell>
          <cell r="J108" t="str">
            <v>Falta Material</v>
          </cell>
        </row>
        <row r="109">
          <cell r="A109">
            <v>37420</v>
          </cell>
          <cell r="B109" t="str">
            <v>Correctivo</v>
          </cell>
          <cell r="C109" t="str">
            <v>CIUD</v>
          </cell>
          <cell r="D109" t="str">
            <v>No</v>
          </cell>
          <cell r="E109" t="str">
            <v>06/07/2026</v>
          </cell>
          <cell r="F109" t="str">
            <v>O</v>
          </cell>
          <cell r="G109" t="str">
            <v>AF066NX</v>
          </cell>
          <cell r="H109" t="str">
            <v>TECTOR EVO 170E28</v>
          </cell>
          <cell r="I109" t="str">
            <v>Cambio De Aceite De Motor</v>
          </cell>
          <cell r="J109">
            <v>0</v>
          </cell>
        </row>
        <row r="110">
          <cell r="A110">
            <v>37044</v>
          </cell>
          <cell r="B110" t="str">
            <v>Correctivo</v>
          </cell>
          <cell r="C110" t="str">
            <v>CIUD</v>
          </cell>
          <cell r="D110" t="str">
            <v>No</v>
          </cell>
          <cell r="E110" t="str">
            <v>07/07/2026</v>
          </cell>
          <cell r="F110" t="str">
            <v>O</v>
          </cell>
          <cell r="G110" t="str">
            <v>AF461DA</v>
          </cell>
          <cell r="H110" t="str">
            <v>PALETERO S.PA.3E.71 2+1</v>
          </cell>
          <cell r="I110" t="str">
            <v>Cambiar Cinta Frenos 1Eje Lado Izq</v>
          </cell>
          <cell r="J110">
            <v>0</v>
          </cell>
        </row>
        <row r="111">
          <cell r="A111">
            <v>37044</v>
          </cell>
          <cell r="B111" t="str">
            <v>Correctivo</v>
          </cell>
          <cell r="C111" t="str">
            <v>CIUD</v>
          </cell>
          <cell r="D111" t="str">
            <v>No</v>
          </cell>
          <cell r="E111" t="str">
            <v>07/07/2026</v>
          </cell>
          <cell r="F111" t="str">
            <v>O</v>
          </cell>
          <cell r="G111" t="str">
            <v>AF461DA</v>
          </cell>
          <cell r="H111" t="str">
            <v>PALETERO S.PA.3E.71 2+1</v>
          </cell>
          <cell r="I111" t="str">
            <v>Cambiar Cinta Frenos 1Eje Lado Der</v>
          </cell>
          <cell r="J111">
            <v>0</v>
          </cell>
        </row>
        <row r="112">
          <cell r="A112">
            <v>37053</v>
          </cell>
          <cell r="B112" t="str">
            <v>Preventivo</v>
          </cell>
          <cell r="C112" t="str">
            <v>CIUD</v>
          </cell>
          <cell r="D112" t="str">
            <v>No</v>
          </cell>
          <cell r="E112" t="str">
            <v>07/07/2026</v>
          </cell>
          <cell r="F112" t="str">
            <v>O</v>
          </cell>
          <cell r="G112" t="str">
            <v>AG043HA</v>
          </cell>
          <cell r="H112" t="str">
            <v>ATEGO 1729</v>
          </cell>
          <cell r="I112" t="str">
            <v>Cambiar filtro de aire</v>
          </cell>
          <cell r="J112">
            <v>0</v>
          </cell>
        </row>
        <row r="113">
          <cell r="A113">
            <v>37056</v>
          </cell>
          <cell r="B113" t="str">
            <v>Correctivo</v>
          </cell>
          <cell r="C113" t="str">
            <v>SRAF</v>
          </cell>
          <cell r="D113" t="str">
            <v>No</v>
          </cell>
          <cell r="E113" t="str">
            <v>07/07/2026</v>
          </cell>
          <cell r="F113" t="str">
            <v>O</v>
          </cell>
          <cell r="G113" t="str">
            <v>IDX164</v>
          </cell>
          <cell r="H113" t="str">
            <v>AXOR 1933</v>
          </cell>
          <cell r="I113" t="str">
            <v>Cambiar Gatillo De Alta Y Baja Palanca De Cambios</v>
          </cell>
          <cell r="J113" t="str">
            <v xml:space="preserve"> - </v>
          </cell>
        </row>
        <row r="114">
          <cell r="A114">
            <v>37074</v>
          </cell>
          <cell r="B114" t="str">
            <v>Correctivo</v>
          </cell>
          <cell r="C114" t="str">
            <v>CIUD</v>
          </cell>
          <cell r="D114" t="str">
            <v>No</v>
          </cell>
          <cell r="E114" t="str">
            <v>07/07/2026</v>
          </cell>
          <cell r="F114" t="str">
            <v>O</v>
          </cell>
          <cell r="G114" t="str">
            <v>FGV321</v>
          </cell>
          <cell r="H114" t="str">
            <v>1218</v>
          </cell>
          <cell r="I114" t="str">
            <v>Colocar Embrague (Placa, Disco y Volante Reparado)</v>
          </cell>
          <cell r="J114">
            <v>0</v>
          </cell>
        </row>
        <row r="115">
          <cell r="A115">
            <v>37079</v>
          </cell>
          <cell r="B115" t="str">
            <v>Correctivo</v>
          </cell>
          <cell r="C115" t="str">
            <v>CIUD</v>
          </cell>
          <cell r="D115" t="str">
            <v>No</v>
          </cell>
          <cell r="E115" t="str">
            <v>09/07/2026</v>
          </cell>
          <cell r="F115" t="str">
            <v>O</v>
          </cell>
          <cell r="G115" t="str">
            <v>OFZ591</v>
          </cell>
          <cell r="H115" t="str">
            <v>32-CORT. LAT. 3 EJES-1</v>
          </cell>
          <cell r="I115" t="str">
            <v>Colocar Bujes Tensor 3 Eje</v>
          </cell>
          <cell r="J115">
            <v>0</v>
          </cell>
        </row>
        <row r="116">
          <cell r="A116">
            <v>37079</v>
          </cell>
          <cell r="B116" t="str">
            <v>Correctivo</v>
          </cell>
          <cell r="C116" t="str">
            <v>CIUD</v>
          </cell>
          <cell r="D116" t="str">
            <v>No</v>
          </cell>
          <cell r="E116" t="str">
            <v>09/07/2026</v>
          </cell>
          <cell r="F116" t="str">
            <v>O</v>
          </cell>
          <cell r="G116" t="str">
            <v>OFZ591</v>
          </cell>
          <cell r="H116" t="str">
            <v>32-CORT. LAT. 3 EJES-1</v>
          </cell>
          <cell r="I116" t="str">
            <v>Colocar Vejiga</v>
          </cell>
          <cell r="J116">
            <v>0</v>
          </cell>
        </row>
        <row r="117">
          <cell r="A117">
            <v>37079</v>
          </cell>
          <cell r="B117" t="str">
            <v>Correctivo</v>
          </cell>
          <cell r="C117" t="str">
            <v>CIUD</v>
          </cell>
          <cell r="D117" t="str">
            <v>No</v>
          </cell>
          <cell r="E117" t="str">
            <v>09/07/2026</v>
          </cell>
          <cell r="F117" t="str">
            <v>O</v>
          </cell>
          <cell r="G117" t="str">
            <v>OFZ591</v>
          </cell>
          <cell r="H117" t="str">
            <v>32-CORT. LAT. 3 EJES-1</v>
          </cell>
          <cell r="I117" t="str">
            <v>Cambio Fichas de Luces</v>
          </cell>
          <cell r="J117">
            <v>0</v>
          </cell>
        </row>
        <row r="118">
          <cell r="A118">
            <v>37079</v>
          </cell>
          <cell r="B118" t="str">
            <v>Correctivo</v>
          </cell>
          <cell r="C118" t="str">
            <v>CIUD</v>
          </cell>
          <cell r="D118" t="str">
            <v>No</v>
          </cell>
          <cell r="E118" t="str">
            <v>09/07/2026</v>
          </cell>
          <cell r="F118" t="str">
            <v>O</v>
          </cell>
          <cell r="G118" t="str">
            <v>OFZ591</v>
          </cell>
          <cell r="H118" t="str">
            <v>32-CORT. LAT. 3 EJES-1</v>
          </cell>
          <cell r="I118" t="str">
            <v>Colocar Paragolpes Trasero</v>
          </cell>
          <cell r="J118">
            <v>0</v>
          </cell>
        </row>
        <row r="119">
          <cell r="A119">
            <v>37081</v>
          </cell>
          <cell r="B119" t="str">
            <v>Correctivo</v>
          </cell>
          <cell r="C119" t="str">
            <v>CIUD</v>
          </cell>
          <cell r="D119" t="str">
            <v>No</v>
          </cell>
          <cell r="E119" t="str">
            <v>09/07/2026</v>
          </cell>
          <cell r="F119" t="str">
            <v>O</v>
          </cell>
          <cell r="G119" t="str">
            <v>JEB636</v>
          </cell>
          <cell r="H119" t="str">
            <v>ATEGO 1725</v>
          </cell>
          <cell r="I119" t="str">
            <v>Colocar depsosito de agua</v>
          </cell>
          <cell r="J119" t="str">
            <v>Falta Consumos</v>
          </cell>
        </row>
        <row r="120">
          <cell r="A120">
            <v>37081</v>
          </cell>
          <cell r="B120" t="str">
            <v>Correctivo</v>
          </cell>
          <cell r="C120" t="str">
            <v>CIUD</v>
          </cell>
          <cell r="D120" t="str">
            <v>No</v>
          </cell>
          <cell r="E120" t="str">
            <v>09/07/2026</v>
          </cell>
          <cell r="F120" t="str">
            <v>O</v>
          </cell>
          <cell r="G120" t="str">
            <v>JEB636</v>
          </cell>
          <cell r="H120" t="str">
            <v>ATEGO 1725</v>
          </cell>
          <cell r="I120" t="str">
            <v>Colocar Tornillo Pasante a Caño Compresor</v>
          </cell>
          <cell r="J120" t="str">
            <v>Falta Consumos</v>
          </cell>
        </row>
        <row r="121">
          <cell r="A121">
            <v>37081</v>
          </cell>
          <cell r="B121" t="str">
            <v>Correctivo</v>
          </cell>
          <cell r="C121" t="str">
            <v>CIUD</v>
          </cell>
          <cell r="D121" t="str">
            <v>No</v>
          </cell>
          <cell r="E121" t="str">
            <v>09/07/2026</v>
          </cell>
          <cell r="F121" t="str">
            <v>O</v>
          </cell>
          <cell r="G121" t="str">
            <v>JEB636</v>
          </cell>
          <cell r="H121" t="str">
            <v>ATEGO 1725</v>
          </cell>
          <cell r="I121" t="str">
            <v>Sacar y Colocar Parrilla Delantera</v>
          </cell>
          <cell r="J121" t="str">
            <v>Falta Consumos</v>
          </cell>
        </row>
        <row r="122">
          <cell r="A122">
            <v>37081</v>
          </cell>
          <cell r="B122" t="str">
            <v>Correctivo</v>
          </cell>
          <cell r="C122" t="str">
            <v>CIUD</v>
          </cell>
          <cell r="D122" t="str">
            <v>No</v>
          </cell>
          <cell r="E122" t="str">
            <v>09/07/2026</v>
          </cell>
          <cell r="F122" t="str">
            <v>O</v>
          </cell>
          <cell r="G122" t="str">
            <v>JEB636</v>
          </cell>
          <cell r="H122" t="str">
            <v>ATEGO 1725</v>
          </cell>
          <cell r="I122" t="str">
            <v>Cambiar Faro Completo Cuernitos Laterales Superior</v>
          </cell>
          <cell r="J122" t="str">
            <v>Falta Consumos</v>
          </cell>
        </row>
        <row r="123">
          <cell r="A123">
            <v>37086</v>
          </cell>
          <cell r="B123" t="str">
            <v>Correctivo</v>
          </cell>
          <cell r="C123" t="str">
            <v>CIUD</v>
          </cell>
          <cell r="D123" t="str">
            <v>No</v>
          </cell>
          <cell r="E123" t="str">
            <v>09/07/2026</v>
          </cell>
          <cell r="F123" t="str">
            <v>O</v>
          </cell>
          <cell r="G123" t="str">
            <v>BJH275</v>
          </cell>
          <cell r="H123" t="str">
            <v>1218</v>
          </cell>
          <cell r="I123" t="str">
            <v>Cambiar Relay Luz Baja</v>
          </cell>
          <cell r="J123" t="str">
            <v>Falta Consumos (ver material con pañol si es el correcto)</v>
          </cell>
        </row>
        <row r="124">
          <cell r="A124">
            <v>37406</v>
          </cell>
          <cell r="B124" t="str">
            <v>Correctivo</v>
          </cell>
          <cell r="C124" t="str">
            <v>CIUD</v>
          </cell>
          <cell r="D124" t="str">
            <v>No</v>
          </cell>
          <cell r="E124" t="str">
            <v>09/07/2026</v>
          </cell>
          <cell r="F124" t="str">
            <v>O</v>
          </cell>
          <cell r="G124" t="str">
            <v>KAV644</v>
          </cell>
          <cell r="H124" t="str">
            <v>ATEGO 1418</v>
          </cell>
          <cell r="I124" t="str">
            <v>Cambiar lampara h7 24v</v>
          </cell>
          <cell r="J124">
            <v>0</v>
          </cell>
        </row>
        <row r="125">
          <cell r="A125">
            <v>37408</v>
          </cell>
          <cell r="B125" t="str">
            <v>Correctivo</v>
          </cell>
          <cell r="C125" t="str">
            <v>CIUD</v>
          </cell>
          <cell r="D125" t="str">
            <v>No</v>
          </cell>
          <cell r="E125" t="str">
            <v>09/07/2026</v>
          </cell>
          <cell r="F125" t="str">
            <v>O</v>
          </cell>
          <cell r="G125" t="str">
            <v>AF066NX</v>
          </cell>
          <cell r="H125" t="str">
            <v>TECTOR EVO 170E28</v>
          </cell>
          <cell r="I125" t="str">
            <v>Cambio Fusible</v>
          </cell>
          <cell r="J125">
            <v>0</v>
          </cell>
        </row>
        <row r="126">
          <cell r="A126">
            <v>37408</v>
          </cell>
          <cell r="B126" t="str">
            <v>Correctivo</v>
          </cell>
          <cell r="C126" t="str">
            <v>CIUD</v>
          </cell>
          <cell r="D126" t="str">
            <v>No</v>
          </cell>
          <cell r="E126" t="str">
            <v>09/07/2026</v>
          </cell>
          <cell r="F126" t="str">
            <v>O</v>
          </cell>
          <cell r="G126" t="str">
            <v>AF066NX</v>
          </cell>
          <cell r="H126" t="str">
            <v>TECTOR EVO 170E28</v>
          </cell>
          <cell r="I126" t="str">
            <v>Cambio Fusible</v>
          </cell>
          <cell r="J126">
            <v>0</v>
          </cell>
        </row>
        <row r="127">
          <cell r="A127">
            <v>37410</v>
          </cell>
          <cell r="B127" t="str">
            <v>Correctivo</v>
          </cell>
          <cell r="C127" t="str">
            <v>CIUD</v>
          </cell>
          <cell r="D127" t="str">
            <v>No</v>
          </cell>
          <cell r="E127" t="str">
            <v>09/07/2026</v>
          </cell>
          <cell r="F127" t="str">
            <v>O</v>
          </cell>
          <cell r="G127" t="str">
            <v>NIE152</v>
          </cell>
          <cell r="H127" t="str">
            <v>ATRON 1720</v>
          </cell>
          <cell r="I127" t="str">
            <v>Colocar Grafica TDU</v>
          </cell>
          <cell r="J127" t="str">
            <v>Falta Material</v>
          </cell>
        </row>
        <row r="128">
          <cell r="A128">
            <v>37410</v>
          </cell>
          <cell r="B128" t="str">
            <v>Correctivo</v>
          </cell>
          <cell r="C128" t="str">
            <v>CIUD</v>
          </cell>
          <cell r="D128" t="str">
            <v>No</v>
          </cell>
          <cell r="E128" t="str">
            <v>09/07/2026</v>
          </cell>
          <cell r="F128" t="str">
            <v>O</v>
          </cell>
          <cell r="G128" t="str">
            <v>NIE152</v>
          </cell>
          <cell r="H128" t="str">
            <v>ATRON 1720</v>
          </cell>
          <cell r="I128" t="str">
            <v>Colocar Grafica TDU</v>
          </cell>
          <cell r="J128" t="str">
            <v>Falta Material</v>
          </cell>
        </row>
        <row r="129">
          <cell r="A129">
            <v>37411</v>
          </cell>
          <cell r="B129" t="str">
            <v>Correctivo</v>
          </cell>
          <cell r="C129" t="str">
            <v>CIUD</v>
          </cell>
          <cell r="D129" t="str">
            <v>No</v>
          </cell>
          <cell r="E129" t="str">
            <v>09/07/2026</v>
          </cell>
          <cell r="F129" t="str">
            <v>O</v>
          </cell>
          <cell r="G129" t="str">
            <v>NIE153</v>
          </cell>
          <cell r="H129" t="str">
            <v>ATRON 1720</v>
          </cell>
          <cell r="I129" t="str">
            <v>Colocar Grafica TDU</v>
          </cell>
          <cell r="J129" t="str">
            <v>Falta Material</v>
          </cell>
        </row>
        <row r="130">
          <cell r="A130">
            <v>37411</v>
          </cell>
          <cell r="B130" t="str">
            <v>Correctivo</v>
          </cell>
          <cell r="C130" t="str">
            <v>CIUD</v>
          </cell>
          <cell r="D130" t="str">
            <v>No</v>
          </cell>
          <cell r="E130" t="str">
            <v>09/07/2026</v>
          </cell>
          <cell r="F130" t="str">
            <v>O</v>
          </cell>
          <cell r="G130" t="str">
            <v>NIE153</v>
          </cell>
          <cell r="H130" t="str">
            <v>ATRON 1720</v>
          </cell>
          <cell r="I130" t="str">
            <v>Colocar Grafica TDU</v>
          </cell>
          <cell r="J130" t="str">
            <v>Falta Material</v>
          </cell>
        </row>
        <row r="131">
          <cell r="A131">
            <v>37412</v>
          </cell>
          <cell r="B131" t="str">
            <v>Correctivo</v>
          </cell>
          <cell r="C131" t="str">
            <v>CIUD</v>
          </cell>
          <cell r="D131" t="str">
            <v>No</v>
          </cell>
          <cell r="E131" t="str">
            <v>09/07/2026</v>
          </cell>
          <cell r="F131" t="str">
            <v>O</v>
          </cell>
          <cell r="G131" t="str">
            <v>NIE154</v>
          </cell>
          <cell r="H131" t="str">
            <v>ATRON 1720</v>
          </cell>
          <cell r="I131" t="str">
            <v>Colocar Grafica TDU</v>
          </cell>
          <cell r="J131" t="str">
            <v>Falta Material</v>
          </cell>
        </row>
        <row r="132">
          <cell r="A132">
            <v>37149</v>
          </cell>
          <cell r="B132" t="str">
            <v>Correctivo</v>
          </cell>
          <cell r="C132" t="str">
            <v>CIUD</v>
          </cell>
          <cell r="D132" t="str">
            <v>No</v>
          </cell>
          <cell r="E132" t="str">
            <v>10/07/2026</v>
          </cell>
          <cell r="F132" t="str">
            <v>O</v>
          </cell>
          <cell r="G132" t="str">
            <v>CVF923</v>
          </cell>
          <cell r="H132" t="str">
            <v>712</v>
          </cell>
          <cell r="I132" t="str">
            <v>Cambiar Medidor De Tanque De Combustible</v>
          </cell>
          <cell r="J132" t="str">
            <v>cargado</v>
          </cell>
        </row>
        <row r="133">
          <cell r="A133">
            <v>37149</v>
          </cell>
          <cell r="B133" t="str">
            <v>Correctivo</v>
          </cell>
          <cell r="C133" t="str">
            <v>CIUD</v>
          </cell>
          <cell r="D133" t="str">
            <v>No</v>
          </cell>
          <cell r="E133" t="str">
            <v>10/07/2026</v>
          </cell>
          <cell r="F133" t="str">
            <v>O</v>
          </cell>
          <cell r="G133" t="str">
            <v>CVF923</v>
          </cell>
          <cell r="H133" t="str">
            <v>712</v>
          </cell>
          <cell r="I133" t="str">
            <v>Cambiar Faro Delantero Izq</v>
          </cell>
          <cell r="J133" t="str">
            <v>cargado</v>
          </cell>
        </row>
        <row r="134">
          <cell r="A134">
            <v>37149</v>
          </cell>
          <cell r="B134" t="str">
            <v>Correctivo</v>
          </cell>
          <cell r="C134" t="str">
            <v>CIUD</v>
          </cell>
          <cell r="D134" t="str">
            <v>No</v>
          </cell>
          <cell r="E134" t="str">
            <v>10/07/2026</v>
          </cell>
          <cell r="F134" t="str">
            <v>O</v>
          </cell>
          <cell r="G134" t="str">
            <v>CVF923</v>
          </cell>
          <cell r="H134" t="str">
            <v>712</v>
          </cell>
          <cell r="I134" t="str">
            <v>Cambiar Faro Delantero Der</v>
          </cell>
          <cell r="J134" t="str">
            <v>cargado</v>
          </cell>
        </row>
        <row r="135">
          <cell r="A135">
            <v>37149</v>
          </cell>
          <cell r="B135" t="str">
            <v>Correctivo</v>
          </cell>
          <cell r="C135" t="str">
            <v>CIUD</v>
          </cell>
          <cell r="D135" t="str">
            <v>No</v>
          </cell>
          <cell r="E135" t="str">
            <v>10/07/2026</v>
          </cell>
          <cell r="F135" t="str">
            <v>O</v>
          </cell>
          <cell r="G135" t="str">
            <v>CVF923</v>
          </cell>
          <cell r="H135" t="str">
            <v>712</v>
          </cell>
          <cell r="I135" t="str">
            <v>Colocar Membrana en Pasta al Techo 2 Manos</v>
          </cell>
          <cell r="J135" t="str">
            <v>cargado</v>
          </cell>
        </row>
        <row r="136">
          <cell r="A136">
            <v>37149</v>
          </cell>
          <cell r="B136" t="str">
            <v>Correctivo</v>
          </cell>
          <cell r="C136" t="str">
            <v>CIUD</v>
          </cell>
          <cell r="D136" t="str">
            <v>No</v>
          </cell>
          <cell r="E136" t="str">
            <v>10/07/2026</v>
          </cell>
          <cell r="F136" t="str">
            <v>O</v>
          </cell>
          <cell r="G136" t="str">
            <v>CVF923</v>
          </cell>
          <cell r="H136" t="str">
            <v>712</v>
          </cell>
          <cell r="I136" t="str">
            <v>Revisión de Cuenta Vuelta para Cambio</v>
          </cell>
          <cell r="J136" t="str">
            <v>cargado</v>
          </cell>
        </row>
        <row r="137">
          <cell r="A137">
            <v>37415</v>
          </cell>
          <cell r="B137" t="str">
            <v>Correctivo</v>
          </cell>
          <cell r="C137" t="str">
            <v>CIUD</v>
          </cell>
          <cell r="D137" t="str">
            <v>No</v>
          </cell>
          <cell r="E137" t="str">
            <v>10/07/2026</v>
          </cell>
          <cell r="F137" t="str">
            <v>O</v>
          </cell>
          <cell r="G137" t="str">
            <v>OHH596</v>
          </cell>
          <cell r="H137" t="str">
            <v>ATRON 1720</v>
          </cell>
          <cell r="I137" t="str">
            <v>Cambio Fusible</v>
          </cell>
          <cell r="J137">
            <v>0</v>
          </cell>
        </row>
        <row r="138">
          <cell r="A138">
            <v>37416</v>
          </cell>
          <cell r="B138" t="str">
            <v>Correctivo</v>
          </cell>
          <cell r="C138" t="str">
            <v>CIUD</v>
          </cell>
          <cell r="D138" t="str">
            <v>No</v>
          </cell>
          <cell r="E138" t="str">
            <v>10/07/2026</v>
          </cell>
          <cell r="F138" t="str">
            <v>O</v>
          </cell>
          <cell r="G138" t="str">
            <v>AD426HV</v>
          </cell>
          <cell r="H138" t="str">
            <v>AXOR 2541</v>
          </cell>
          <cell r="I138" t="str">
            <v>Cambiar lampara h3 24v</v>
          </cell>
          <cell r="J138">
            <v>0</v>
          </cell>
        </row>
        <row r="139">
          <cell r="A139">
            <v>37417</v>
          </cell>
          <cell r="B139" t="str">
            <v>Correctivo</v>
          </cell>
          <cell r="C139" t="str">
            <v>CIUD</v>
          </cell>
          <cell r="D139" t="str">
            <v>No</v>
          </cell>
          <cell r="E139" t="str">
            <v>10/07/2026</v>
          </cell>
          <cell r="F139" t="str">
            <v>O</v>
          </cell>
          <cell r="G139" t="str">
            <v>AD367QC</v>
          </cell>
          <cell r="H139" t="str">
            <v>S.A.P.3E.71</v>
          </cell>
          <cell r="I139" t="str">
            <v>Cambio Mica</v>
          </cell>
          <cell r="J139">
            <v>0</v>
          </cell>
        </row>
        <row r="140">
          <cell r="A140">
            <v>37417</v>
          </cell>
          <cell r="B140" t="str">
            <v>Correctivo</v>
          </cell>
          <cell r="C140" t="str">
            <v>CIUD</v>
          </cell>
          <cell r="D140" t="str">
            <v>No</v>
          </cell>
          <cell r="E140" t="str">
            <v>10/07/2026</v>
          </cell>
          <cell r="F140" t="str">
            <v>O</v>
          </cell>
          <cell r="G140" t="str">
            <v>AD367QC</v>
          </cell>
          <cell r="H140" t="str">
            <v>S.A.P.3E.71</v>
          </cell>
          <cell r="I140" t="str">
            <v>Cambio Mica</v>
          </cell>
          <cell r="J140">
            <v>0</v>
          </cell>
        </row>
        <row r="141">
          <cell r="A141">
            <v>37216</v>
          </cell>
          <cell r="B141" t="str">
            <v>Correctivo</v>
          </cell>
          <cell r="C141" t="str">
            <v>CIUD</v>
          </cell>
          <cell r="D141" t="str">
            <v>No</v>
          </cell>
          <cell r="E141" t="str">
            <v>12/07/2026</v>
          </cell>
          <cell r="F141" t="str">
            <v>O</v>
          </cell>
          <cell r="G141" t="str">
            <v>KBO542</v>
          </cell>
          <cell r="H141" t="str">
            <v>AXOR 1933</v>
          </cell>
          <cell r="I141" t="str">
            <v>Cambiar Pata De Caja Izq</v>
          </cell>
          <cell r="J141">
            <v>0</v>
          </cell>
        </row>
        <row r="142">
          <cell r="A142">
            <v>37216</v>
          </cell>
          <cell r="B142" t="str">
            <v>Correctivo</v>
          </cell>
          <cell r="C142" t="str">
            <v>CIUD</v>
          </cell>
          <cell r="D142" t="str">
            <v>No</v>
          </cell>
          <cell r="E142" t="str">
            <v>12/07/2026</v>
          </cell>
          <cell r="F142" t="str">
            <v>O</v>
          </cell>
          <cell r="G142" t="str">
            <v>KBO542</v>
          </cell>
          <cell r="H142" t="str">
            <v>AXOR 1933</v>
          </cell>
          <cell r="I142" t="str">
            <v>Cambiar Pata De Caja Der</v>
          </cell>
          <cell r="J142">
            <v>0</v>
          </cell>
        </row>
        <row r="143">
          <cell r="A143">
            <v>37217</v>
          </cell>
          <cell r="B143" t="str">
            <v>Preventivo</v>
          </cell>
          <cell r="C143" t="str">
            <v>CIUD</v>
          </cell>
          <cell r="D143" t="str">
            <v>No</v>
          </cell>
          <cell r="E143" t="str">
            <v>12/07/2026</v>
          </cell>
          <cell r="F143" t="str">
            <v>O</v>
          </cell>
          <cell r="G143" t="str">
            <v>KBO542</v>
          </cell>
          <cell r="H143" t="str">
            <v>AXOR 1933</v>
          </cell>
          <cell r="I143" t="str">
            <v>Cambio De Aceite De Motor Y Filtro Aceite</v>
          </cell>
          <cell r="J143">
            <v>0</v>
          </cell>
        </row>
        <row r="144">
          <cell r="A144">
            <v>37219</v>
          </cell>
          <cell r="B144" t="str">
            <v>Preventivo</v>
          </cell>
          <cell r="C144" t="str">
            <v>CIUD</v>
          </cell>
          <cell r="D144" t="str">
            <v>No</v>
          </cell>
          <cell r="E144" t="str">
            <v>12/07/2026</v>
          </cell>
          <cell r="F144" t="str">
            <v>O</v>
          </cell>
          <cell r="G144" t="str">
            <v>KBO542</v>
          </cell>
          <cell r="H144" t="str">
            <v>AXOR 1933</v>
          </cell>
          <cell r="I144" t="str">
            <v>Cambiar filtro de aire</v>
          </cell>
          <cell r="J144">
            <v>0</v>
          </cell>
        </row>
        <row r="145">
          <cell r="A145">
            <v>37247</v>
          </cell>
          <cell r="B145" t="str">
            <v>Correctivo</v>
          </cell>
          <cell r="C145" t="str">
            <v>CIUD</v>
          </cell>
          <cell r="D145" t="str">
            <v>No</v>
          </cell>
          <cell r="E145" t="str">
            <v>12/07/2026</v>
          </cell>
          <cell r="F145" t="str">
            <v>O</v>
          </cell>
          <cell r="G145" t="str">
            <v>OHH590</v>
          </cell>
          <cell r="H145" t="str">
            <v>ATRON 1720</v>
          </cell>
          <cell r="I145" t="str">
            <v>Cambiar Taco De Carroceria</v>
          </cell>
          <cell r="J145">
            <v>0</v>
          </cell>
        </row>
        <row r="146">
          <cell r="A146">
            <v>37250</v>
          </cell>
          <cell r="B146" t="str">
            <v>Preventivo</v>
          </cell>
          <cell r="C146" t="str">
            <v>CIUD</v>
          </cell>
          <cell r="D146" t="str">
            <v>No</v>
          </cell>
          <cell r="E146" t="str">
            <v>12/07/2026</v>
          </cell>
          <cell r="F146" t="str">
            <v>O</v>
          </cell>
          <cell r="G146" t="str">
            <v>AG176NB</v>
          </cell>
          <cell r="H146" t="str">
            <v>TECTOR 160E21</v>
          </cell>
          <cell r="I146" t="str">
            <v>Cambio De Aceite De Motor Y Filtro Aceite</v>
          </cell>
          <cell r="J146">
            <v>0</v>
          </cell>
        </row>
        <row r="147">
          <cell r="A147">
            <v>37262</v>
          </cell>
          <cell r="B147" t="str">
            <v>Correctivo</v>
          </cell>
          <cell r="C147" t="str">
            <v>MNZA</v>
          </cell>
          <cell r="D147" t="str">
            <v>No</v>
          </cell>
          <cell r="E147" t="str">
            <v>12/07/2026</v>
          </cell>
          <cell r="F147" t="str">
            <v>O</v>
          </cell>
          <cell r="G147" t="str">
            <v>AF148MS</v>
          </cell>
          <cell r="H147" t="str">
            <v>AXOR 1933</v>
          </cell>
          <cell r="I147" t="str">
            <v>Cambiar Manguera Bajada De Vigia Delantera</v>
          </cell>
          <cell r="J147" t="str">
            <v>OK Contabilizar</v>
          </cell>
        </row>
        <row r="148">
          <cell r="A148">
            <v>37400</v>
          </cell>
          <cell r="B148" t="str">
            <v>Correctivo</v>
          </cell>
          <cell r="C148" t="str">
            <v>CIUD</v>
          </cell>
          <cell r="D148" t="str">
            <v>No</v>
          </cell>
          <cell r="E148" t="str">
            <v>12/07/2026</v>
          </cell>
          <cell r="F148" t="str">
            <v>O</v>
          </cell>
          <cell r="G148" t="str">
            <v>GNY198</v>
          </cell>
          <cell r="H148" t="str">
            <v>1624</v>
          </cell>
          <cell r="I148" t="str">
            <v>Cambiar lamparas</v>
          </cell>
          <cell r="J148">
            <v>0</v>
          </cell>
        </row>
        <row r="149">
          <cell r="A149">
            <v>37405</v>
          </cell>
          <cell r="B149" t="str">
            <v>Correctivo</v>
          </cell>
          <cell r="C149" t="str">
            <v>CIUD</v>
          </cell>
          <cell r="D149" t="str">
            <v>No</v>
          </cell>
          <cell r="E149" t="str">
            <v>12/07/2026</v>
          </cell>
          <cell r="F149" t="str">
            <v>O</v>
          </cell>
          <cell r="G149" t="str">
            <v>GRC311</v>
          </cell>
          <cell r="H149" t="str">
            <v>1624</v>
          </cell>
          <cell r="I149" t="str">
            <v>Cambiar lampra 21w 24v</v>
          </cell>
          <cell r="J149">
            <v>0</v>
          </cell>
        </row>
        <row r="150">
          <cell r="A150">
            <v>37562</v>
          </cell>
          <cell r="B150" t="str">
            <v>Correctivo</v>
          </cell>
          <cell r="C150" t="str">
            <v>CIUD</v>
          </cell>
          <cell r="D150" t="str">
            <v>No</v>
          </cell>
          <cell r="E150" t="str">
            <v>12/07/2026</v>
          </cell>
          <cell r="F150" t="str">
            <v>O</v>
          </cell>
          <cell r="G150" t="str">
            <v>AF114FN</v>
          </cell>
          <cell r="H150" t="str">
            <v>TECTOR EVO 170E28</v>
          </cell>
          <cell r="I150" t="str">
            <v>Cambiar lamparas</v>
          </cell>
          <cell r="J150" t="str">
            <v xml:space="preserve"> - </v>
          </cell>
        </row>
        <row r="151">
          <cell r="A151">
            <v>37256</v>
          </cell>
          <cell r="B151" t="str">
            <v>Preventivo</v>
          </cell>
          <cell r="C151" t="str">
            <v>SRAF</v>
          </cell>
          <cell r="D151" t="str">
            <v>No</v>
          </cell>
          <cell r="E151" t="str">
            <v>13/07/2026</v>
          </cell>
          <cell r="F151" t="str">
            <v>O</v>
          </cell>
          <cell r="G151" t="str">
            <v>BNW644</v>
          </cell>
          <cell r="H151" t="str">
            <v>710</v>
          </cell>
          <cell r="I151" t="str">
            <v>Cambio De Aceite De Motor Y Filtro Aceite</v>
          </cell>
          <cell r="J151">
            <v>0</v>
          </cell>
        </row>
        <row r="152">
          <cell r="A152">
            <v>37264</v>
          </cell>
          <cell r="B152" t="str">
            <v>Correctivo</v>
          </cell>
          <cell r="C152" t="str">
            <v>SRAF</v>
          </cell>
          <cell r="D152" t="str">
            <v>No</v>
          </cell>
          <cell r="E152" t="str">
            <v>13/07/2026</v>
          </cell>
          <cell r="F152" t="str">
            <v>O</v>
          </cell>
          <cell r="G152" t="str">
            <v>BNW644</v>
          </cell>
          <cell r="H152" t="str">
            <v>710</v>
          </cell>
          <cell r="I152" t="str">
            <v>Cambio Cerradura De Puerta Izq</v>
          </cell>
          <cell r="J152">
            <v>0</v>
          </cell>
        </row>
        <row r="153">
          <cell r="A153">
            <v>37267</v>
          </cell>
          <cell r="B153" t="str">
            <v>Correctivo</v>
          </cell>
          <cell r="C153" t="str">
            <v>CIUD</v>
          </cell>
          <cell r="D153" t="str">
            <v>No</v>
          </cell>
          <cell r="E153" t="str">
            <v>13/07/2026</v>
          </cell>
          <cell r="F153" t="str">
            <v>O</v>
          </cell>
          <cell r="G153" t="str">
            <v>IDX163</v>
          </cell>
          <cell r="H153" t="str">
            <v>AXOR 1933</v>
          </cell>
          <cell r="I153" t="str">
            <v>Cambio Fuelle De Palanca De Cambios</v>
          </cell>
          <cell r="J153" t="str">
            <v>Falta Material</v>
          </cell>
        </row>
        <row r="154">
          <cell r="A154">
            <v>37267</v>
          </cell>
          <cell r="B154" t="str">
            <v>Correctivo</v>
          </cell>
          <cell r="C154" t="str">
            <v>CIUD</v>
          </cell>
          <cell r="D154" t="str">
            <v>No</v>
          </cell>
          <cell r="E154" t="str">
            <v>13/07/2026</v>
          </cell>
          <cell r="F154" t="str">
            <v>O</v>
          </cell>
          <cell r="G154" t="str">
            <v>IDX163</v>
          </cell>
          <cell r="H154" t="str">
            <v>AXOR 1933</v>
          </cell>
          <cell r="I154" t="str">
            <v>Colocar Bileta lado Derecho</v>
          </cell>
          <cell r="J154" t="str">
            <v>Falta Material</v>
          </cell>
        </row>
        <row r="155">
          <cell r="A155">
            <v>37267</v>
          </cell>
          <cell r="B155" t="str">
            <v>Correctivo</v>
          </cell>
          <cell r="C155" t="str">
            <v>CIUD</v>
          </cell>
          <cell r="D155" t="str">
            <v>No</v>
          </cell>
          <cell r="E155" t="str">
            <v>13/07/2026</v>
          </cell>
          <cell r="F155" t="str">
            <v>O</v>
          </cell>
          <cell r="G155" t="str">
            <v>IDX163</v>
          </cell>
          <cell r="H155" t="str">
            <v>AXOR 1933</v>
          </cell>
          <cell r="I155" t="str">
            <v>Colocar Barra Estabilizadora</v>
          </cell>
          <cell r="J155" t="str">
            <v>Falta Material</v>
          </cell>
        </row>
        <row r="156">
          <cell r="A156">
            <v>37267</v>
          </cell>
          <cell r="B156" t="str">
            <v>Correctivo</v>
          </cell>
          <cell r="C156" t="str">
            <v>CIUD</v>
          </cell>
          <cell r="D156" t="str">
            <v>No</v>
          </cell>
          <cell r="E156" t="str">
            <v>13/07/2026</v>
          </cell>
          <cell r="F156" t="str">
            <v>O</v>
          </cell>
          <cell r="G156" t="str">
            <v>IDX163</v>
          </cell>
          <cell r="H156" t="str">
            <v>AXOR 1933</v>
          </cell>
          <cell r="I156" t="str">
            <v>Colocar Triller + Modificacion</v>
          </cell>
          <cell r="J156" t="str">
            <v>Falta Material</v>
          </cell>
        </row>
        <row r="157">
          <cell r="A157">
            <v>37267</v>
          </cell>
          <cell r="B157" t="str">
            <v>Correctivo</v>
          </cell>
          <cell r="C157" t="str">
            <v>CIUD</v>
          </cell>
          <cell r="D157" t="str">
            <v>No</v>
          </cell>
          <cell r="E157" t="str">
            <v>13/07/2026</v>
          </cell>
          <cell r="F157" t="str">
            <v>O</v>
          </cell>
          <cell r="G157" t="str">
            <v>IDX163</v>
          </cell>
          <cell r="H157" t="str">
            <v>AXOR 1933</v>
          </cell>
          <cell r="I157" t="str">
            <v>Colocar Buje Barra Estabilizadora</v>
          </cell>
          <cell r="J157" t="str">
            <v>Falta Material</v>
          </cell>
        </row>
        <row r="158">
          <cell r="A158">
            <v>37276</v>
          </cell>
          <cell r="B158" t="str">
            <v>Correctivo</v>
          </cell>
          <cell r="C158" t="str">
            <v>CIUD</v>
          </cell>
          <cell r="D158" t="str">
            <v>No</v>
          </cell>
          <cell r="E158" t="str">
            <v>13/07/2026</v>
          </cell>
          <cell r="F158" t="str">
            <v>O</v>
          </cell>
          <cell r="G158" t="str">
            <v>OJG064</v>
          </cell>
          <cell r="H158" t="str">
            <v>ATRON 1720</v>
          </cell>
          <cell r="I158" t="str">
            <v>Cambiar Manija Levanta Vidrio Izq.</v>
          </cell>
          <cell r="J158">
            <v>0</v>
          </cell>
        </row>
        <row r="159">
          <cell r="A159">
            <v>37278</v>
          </cell>
          <cell r="B159" t="str">
            <v>Correctivo</v>
          </cell>
          <cell r="C159" t="str">
            <v>CIUD</v>
          </cell>
          <cell r="D159" t="str">
            <v>No</v>
          </cell>
          <cell r="E159" t="str">
            <v>13/07/2026</v>
          </cell>
          <cell r="F159" t="str">
            <v>O</v>
          </cell>
          <cell r="G159" t="str">
            <v>OIC418</v>
          </cell>
          <cell r="H159" t="str">
            <v>ATRON 1720</v>
          </cell>
          <cell r="I159" t="str">
            <v>Cambiar Faros Laterales</v>
          </cell>
          <cell r="J159">
            <v>0</v>
          </cell>
        </row>
        <row r="160">
          <cell r="A160">
            <v>37280</v>
          </cell>
          <cell r="B160" t="str">
            <v>Correctivo</v>
          </cell>
          <cell r="C160" t="str">
            <v>CIUD</v>
          </cell>
          <cell r="D160" t="str">
            <v>No</v>
          </cell>
          <cell r="E160" t="str">
            <v>13/07/2026</v>
          </cell>
          <cell r="F160" t="str">
            <v>O</v>
          </cell>
          <cell r="G160" t="str">
            <v>GLT552</v>
          </cell>
          <cell r="H160" t="str">
            <v>1624</v>
          </cell>
          <cell r="I160" t="str">
            <v>Cambiar Lamparas de Luz de Pecho</v>
          </cell>
          <cell r="J160">
            <v>0</v>
          </cell>
        </row>
        <row r="161">
          <cell r="A161">
            <v>37281</v>
          </cell>
          <cell r="B161" t="str">
            <v>Correctivo</v>
          </cell>
          <cell r="C161" t="str">
            <v>CIUD</v>
          </cell>
          <cell r="D161" t="str">
            <v>No</v>
          </cell>
          <cell r="E161" t="str">
            <v>13/07/2026</v>
          </cell>
          <cell r="G161" t="str">
            <v>ESTRUCTURA BA</v>
          </cell>
          <cell r="H161" t="str">
            <v>ESTRUCTURA BUENOS AIRES</v>
          </cell>
          <cell r="I161" t="str">
            <v>Colocar bomba de aceite y cañerias</v>
          </cell>
          <cell r="J161" t="str">
            <v>No invetariado, Contabilizar</v>
          </cell>
        </row>
        <row r="162">
          <cell r="A162">
            <v>37283</v>
          </cell>
          <cell r="B162" t="str">
            <v>Preventivo</v>
          </cell>
          <cell r="C162" t="str">
            <v>CIUD</v>
          </cell>
          <cell r="D162" t="str">
            <v>No</v>
          </cell>
          <cell r="E162" t="str">
            <v>13/07/2026</v>
          </cell>
          <cell r="F162" t="str">
            <v>O</v>
          </cell>
          <cell r="G162" t="str">
            <v>AF088ED</v>
          </cell>
          <cell r="H162" t="str">
            <v>ATEGO 1726</v>
          </cell>
          <cell r="I162" t="str">
            <v>Cambio De Aceite De Motor Y Filtro Aceite</v>
          </cell>
          <cell r="J162">
            <v>0</v>
          </cell>
        </row>
        <row r="163">
          <cell r="A163">
            <v>37296</v>
          </cell>
          <cell r="B163" t="str">
            <v>Correctivo</v>
          </cell>
          <cell r="C163" t="str">
            <v>MNZA</v>
          </cell>
          <cell r="D163" t="str">
            <v>No</v>
          </cell>
          <cell r="E163" t="str">
            <v>13/07/2026</v>
          </cell>
          <cell r="F163" t="str">
            <v>O</v>
          </cell>
          <cell r="G163" t="str">
            <v>OAF641</v>
          </cell>
          <cell r="H163" t="str">
            <v>G310</v>
          </cell>
          <cell r="I163" t="str">
            <v>Cambiar motor de arranque Scania</v>
          </cell>
          <cell r="J163" t="str">
            <v>Falta Material</v>
          </cell>
        </row>
        <row r="164">
          <cell r="A164">
            <v>37296</v>
          </cell>
          <cell r="B164" t="str">
            <v>Correctivo</v>
          </cell>
          <cell r="C164" t="str">
            <v>MNZA</v>
          </cell>
          <cell r="D164" t="str">
            <v>No</v>
          </cell>
          <cell r="E164" t="str">
            <v>13/07/2026</v>
          </cell>
          <cell r="F164" t="str">
            <v>O</v>
          </cell>
          <cell r="G164" t="str">
            <v>OAF641</v>
          </cell>
          <cell r="H164" t="str">
            <v>G310</v>
          </cell>
          <cell r="I164" t="str">
            <v>Reparar y colocar motor de arranque</v>
          </cell>
          <cell r="J164" t="str">
            <v>Falta Material</v>
          </cell>
        </row>
        <row r="165">
          <cell r="A165">
            <v>37581</v>
          </cell>
          <cell r="B165" t="str">
            <v>Correctivo</v>
          </cell>
          <cell r="C165" t="str">
            <v>CIUD</v>
          </cell>
          <cell r="D165" t="str">
            <v>No</v>
          </cell>
          <cell r="E165" t="str">
            <v>13/07/2026</v>
          </cell>
          <cell r="F165" t="str">
            <v>O</v>
          </cell>
          <cell r="G165" t="str">
            <v>AF114FN</v>
          </cell>
          <cell r="H165" t="str">
            <v>TECTOR EVO 170E28</v>
          </cell>
          <cell r="I165" t="str">
            <v>Cambiar Lámpara Posición</v>
          </cell>
          <cell r="J165" t="str">
            <v xml:space="preserve"> - </v>
          </cell>
        </row>
        <row r="166">
          <cell r="A166">
            <v>37581</v>
          </cell>
          <cell r="B166" t="str">
            <v>Correctivo</v>
          </cell>
          <cell r="C166" t="str">
            <v>CIUD</v>
          </cell>
          <cell r="D166" t="str">
            <v>No</v>
          </cell>
          <cell r="E166" t="str">
            <v>13/07/2026</v>
          </cell>
          <cell r="F166" t="str">
            <v>O</v>
          </cell>
          <cell r="G166" t="str">
            <v>AF114FN</v>
          </cell>
          <cell r="H166" t="str">
            <v>TECTOR EVO 170E28</v>
          </cell>
          <cell r="I166" t="str">
            <v>Cambiar lampara h7 24v</v>
          </cell>
          <cell r="J166" t="str">
            <v xml:space="preserve"> - </v>
          </cell>
        </row>
        <row r="167">
          <cell r="A167">
            <v>37702</v>
          </cell>
          <cell r="B167" t="str">
            <v>Correctivo</v>
          </cell>
          <cell r="C167" t="str">
            <v>CIUD</v>
          </cell>
          <cell r="D167" t="str">
            <v>No</v>
          </cell>
          <cell r="E167" t="str">
            <v>13/07/2026</v>
          </cell>
          <cell r="F167" t="str">
            <v>O</v>
          </cell>
          <cell r="G167" t="str">
            <v>GOX959</v>
          </cell>
          <cell r="H167" t="str">
            <v>1318</v>
          </cell>
          <cell r="I167" t="str">
            <v>Coloco Tornillo A Rienda De Puerta</v>
          </cell>
          <cell r="J167" t="str">
            <v xml:space="preserve"> - </v>
          </cell>
        </row>
        <row r="168">
          <cell r="A168">
            <v>37716</v>
          </cell>
          <cell r="B168" t="str">
            <v>Correctivo</v>
          </cell>
          <cell r="C168" t="str">
            <v>CIUD</v>
          </cell>
          <cell r="D168" t="str">
            <v>No</v>
          </cell>
          <cell r="E168" t="str">
            <v>13/07/2026</v>
          </cell>
          <cell r="F168" t="str">
            <v>O</v>
          </cell>
          <cell r="G168" t="str">
            <v>JWV370</v>
          </cell>
          <cell r="H168" t="str">
            <v>ATEGO 1418</v>
          </cell>
          <cell r="I168" t="str">
            <v>Cambiar Lamparas 24V 21/5w Varias</v>
          </cell>
          <cell r="J168" t="str">
            <v xml:space="preserve"> - </v>
          </cell>
        </row>
        <row r="169">
          <cell r="A169">
            <v>37716</v>
          </cell>
          <cell r="B169" t="str">
            <v>Correctivo</v>
          </cell>
          <cell r="C169" t="str">
            <v>CIUD</v>
          </cell>
          <cell r="D169" t="str">
            <v>No</v>
          </cell>
          <cell r="E169" t="str">
            <v>13/07/2026</v>
          </cell>
          <cell r="F169" t="str">
            <v>O</v>
          </cell>
          <cell r="G169" t="str">
            <v>JWV370</v>
          </cell>
          <cell r="H169" t="str">
            <v>ATEGO 1418</v>
          </cell>
          <cell r="I169" t="str">
            <v>Cambiar lampara h7 24v</v>
          </cell>
          <cell r="J169" t="str">
            <v xml:space="preserve"> - </v>
          </cell>
        </row>
        <row r="170">
          <cell r="A170">
            <v>37717</v>
          </cell>
          <cell r="B170" t="str">
            <v>Correctivo</v>
          </cell>
          <cell r="C170" t="str">
            <v>CIUD</v>
          </cell>
          <cell r="D170" t="str">
            <v>No</v>
          </cell>
          <cell r="E170" t="str">
            <v>13/07/2026</v>
          </cell>
          <cell r="F170" t="str">
            <v>O</v>
          </cell>
          <cell r="G170" t="str">
            <v>OMQ198</v>
          </cell>
          <cell r="H170" t="str">
            <v>ATEGO 1725</v>
          </cell>
          <cell r="I170" t="str">
            <v>Cambiar lámpara de Posición Lateral</v>
          </cell>
          <cell r="J170" t="str">
            <v xml:space="preserve"> - </v>
          </cell>
        </row>
        <row r="171">
          <cell r="A171">
            <v>37289</v>
          </cell>
          <cell r="B171" t="str">
            <v>Correctivo</v>
          </cell>
          <cell r="C171" t="str">
            <v>CIUD</v>
          </cell>
          <cell r="D171" t="str">
            <v>No</v>
          </cell>
          <cell r="E171" t="str">
            <v>14/07/2026</v>
          </cell>
          <cell r="F171" t="str">
            <v>O</v>
          </cell>
          <cell r="G171" t="str">
            <v>KMM903</v>
          </cell>
          <cell r="H171" t="str">
            <v>ATRON 1720</v>
          </cell>
          <cell r="I171" t="str">
            <v>Desarmar Tablero y Cambiar Lamparas</v>
          </cell>
          <cell r="J171">
            <v>0</v>
          </cell>
        </row>
        <row r="172">
          <cell r="A172">
            <v>37289</v>
          </cell>
          <cell r="B172" t="str">
            <v>Correctivo</v>
          </cell>
          <cell r="C172" t="str">
            <v>CIUD</v>
          </cell>
          <cell r="D172" t="str">
            <v>No</v>
          </cell>
          <cell r="E172" t="str">
            <v>14/07/2026</v>
          </cell>
          <cell r="F172" t="str">
            <v>O</v>
          </cell>
          <cell r="G172" t="str">
            <v>KMM903</v>
          </cell>
          <cell r="H172" t="str">
            <v>ATRON 1720</v>
          </cell>
          <cell r="I172" t="str">
            <v>Cambiar Flotante Gas Oil</v>
          </cell>
          <cell r="J172">
            <v>0</v>
          </cell>
        </row>
        <row r="173">
          <cell r="A173">
            <v>37298</v>
          </cell>
          <cell r="B173" t="str">
            <v>Correctivo</v>
          </cell>
          <cell r="C173" t="str">
            <v>CIUD</v>
          </cell>
          <cell r="D173" t="str">
            <v>No</v>
          </cell>
          <cell r="E173" t="str">
            <v>14/07/2026</v>
          </cell>
          <cell r="F173" t="str">
            <v>O</v>
          </cell>
          <cell r="G173" t="str">
            <v>HUY047</v>
          </cell>
          <cell r="H173" t="str">
            <v>1318</v>
          </cell>
          <cell r="I173" t="str">
            <v>Cambiar Hebilla y Cinturon De Seguridad</v>
          </cell>
          <cell r="J173" t="str">
            <v>Falta Material</v>
          </cell>
        </row>
        <row r="174">
          <cell r="A174">
            <v>37301</v>
          </cell>
          <cell r="B174" t="str">
            <v>Correctivo</v>
          </cell>
          <cell r="C174" t="str">
            <v>MNZA</v>
          </cell>
          <cell r="D174" t="str">
            <v>No</v>
          </cell>
          <cell r="E174" t="str">
            <v>14/07/2026</v>
          </cell>
          <cell r="F174" t="str">
            <v>O</v>
          </cell>
          <cell r="G174" t="str">
            <v>IDJ796</v>
          </cell>
          <cell r="H174" t="str">
            <v>S FP 3E 98</v>
          </cell>
          <cell r="I174" t="str">
            <v>Cambiar Vejiga De Levante LD</v>
          </cell>
          <cell r="J174">
            <v>0</v>
          </cell>
        </row>
        <row r="175">
          <cell r="A175">
            <v>37301</v>
          </cell>
          <cell r="B175" t="str">
            <v>Correctivo</v>
          </cell>
          <cell r="C175" t="str">
            <v>MNZA</v>
          </cell>
          <cell r="D175" t="str">
            <v>No</v>
          </cell>
          <cell r="E175" t="str">
            <v>14/07/2026</v>
          </cell>
          <cell r="F175" t="str">
            <v>O</v>
          </cell>
          <cell r="G175" t="str">
            <v>IDJ796</v>
          </cell>
          <cell r="H175" t="str">
            <v>S FP 3E 98</v>
          </cell>
          <cell r="I175" t="str">
            <v>Cambiar Vejiga De Pisada  LD</v>
          </cell>
          <cell r="J175">
            <v>0</v>
          </cell>
        </row>
        <row r="176">
          <cell r="A176">
            <v>37301</v>
          </cell>
          <cell r="B176" t="str">
            <v>Correctivo</v>
          </cell>
          <cell r="C176" t="str">
            <v>MNZA</v>
          </cell>
          <cell r="D176" t="str">
            <v>No</v>
          </cell>
          <cell r="E176" t="str">
            <v>14/07/2026</v>
          </cell>
          <cell r="F176" t="str">
            <v>O</v>
          </cell>
          <cell r="G176" t="str">
            <v>IDJ796</v>
          </cell>
          <cell r="H176" t="str">
            <v>S FP 3E 98</v>
          </cell>
          <cell r="I176" t="str">
            <v>Coloco Electrovalvula De Eje Neumatica Usada</v>
          </cell>
          <cell r="J176">
            <v>0</v>
          </cell>
        </row>
        <row r="177">
          <cell r="A177">
            <v>37301</v>
          </cell>
          <cell r="B177" t="str">
            <v>Correctivo</v>
          </cell>
          <cell r="C177" t="str">
            <v>MNZA</v>
          </cell>
          <cell r="D177" t="str">
            <v>No</v>
          </cell>
          <cell r="E177" t="str">
            <v>14/07/2026</v>
          </cell>
          <cell r="F177" t="str">
            <v>O</v>
          </cell>
          <cell r="G177" t="str">
            <v>IDJ796</v>
          </cell>
          <cell r="H177" t="str">
            <v>S FP 3E 98</v>
          </cell>
          <cell r="I177" t="str">
            <v>Cambiar Ficha De Triller Hembra</v>
          </cell>
          <cell r="J177">
            <v>0</v>
          </cell>
        </row>
        <row r="178">
          <cell r="A178">
            <v>37309</v>
          </cell>
          <cell r="B178" t="str">
            <v>Correctivo</v>
          </cell>
          <cell r="C178" t="str">
            <v>MNZA</v>
          </cell>
          <cell r="D178" t="str">
            <v>No</v>
          </cell>
          <cell r="E178" t="str">
            <v>14/07/2026</v>
          </cell>
          <cell r="F178" t="str">
            <v>O</v>
          </cell>
          <cell r="G178" t="str">
            <v>KUF606</v>
          </cell>
          <cell r="H178" t="str">
            <v>AXOR 1933</v>
          </cell>
          <cell r="I178" t="str">
            <v>Cambiar Flexible De Escape</v>
          </cell>
          <cell r="J178">
            <v>0</v>
          </cell>
        </row>
        <row r="179">
          <cell r="A179">
            <v>37309</v>
          </cell>
          <cell r="B179" t="str">
            <v>Correctivo</v>
          </cell>
          <cell r="C179" t="str">
            <v>MNZA</v>
          </cell>
          <cell r="D179" t="str">
            <v>No</v>
          </cell>
          <cell r="E179" t="str">
            <v>14/07/2026</v>
          </cell>
          <cell r="F179" t="str">
            <v>O</v>
          </cell>
          <cell r="G179" t="str">
            <v>KUF606</v>
          </cell>
          <cell r="H179" t="str">
            <v>AXOR 1933</v>
          </cell>
          <cell r="I179" t="str">
            <v>Cambiar Modulo PLD Reparado</v>
          </cell>
          <cell r="J179">
            <v>0</v>
          </cell>
        </row>
        <row r="180">
          <cell r="A180">
            <v>37321</v>
          </cell>
          <cell r="B180" t="str">
            <v>Correctivo</v>
          </cell>
          <cell r="C180" t="str">
            <v>CIUD</v>
          </cell>
          <cell r="D180" t="str">
            <v>No</v>
          </cell>
          <cell r="E180" t="str">
            <v>14/07/2026</v>
          </cell>
          <cell r="G180" t="str">
            <v>ESTRUCTURA BA</v>
          </cell>
          <cell r="H180" t="str">
            <v>ESTRUCTURA BUENOS AIRES</v>
          </cell>
          <cell r="I180" t="str">
            <v>Cambio Barril Aceite En Taller</v>
          </cell>
          <cell r="J180" t="str">
            <v>OK Contabilizar</v>
          </cell>
        </row>
        <row r="181">
          <cell r="A181">
            <v>37333</v>
          </cell>
          <cell r="B181" t="str">
            <v>Correctivo</v>
          </cell>
          <cell r="C181" t="str">
            <v>CIUD</v>
          </cell>
          <cell r="D181" t="str">
            <v>No</v>
          </cell>
          <cell r="E181" t="str">
            <v>14/07/2026</v>
          </cell>
          <cell r="F181" t="str">
            <v>O</v>
          </cell>
          <cell r="G181" t="str">
            <v>LFK338</v>
          </cell>
          <cell r="H181" t="str">
            <v>AXOR 2035</v>
          </cell>
          <cell r="I181" t="str">
            <v>Colocar Cardan</v>
          </cell>
          <cell r="J181">
            <v>0</v>
          </cell>
        </row>
        <row r="182">
          <cell r="A182">
            <v>37333</v>
          </cell>
          <cell r="B182" t="str">
            <v>Correctivo</v>
          </cell>
          <cell r="C182" t="str">
            <v>CIUD</v>
          </cell>
          <cell r="D182" t="str">
            <v>No</v>
          </cell>
          <cell r="E182" t="str">
            <v>14/07/2026</v>
          </cell>
          <cell r="F182" t="str">
            <v>O</v>
          </cell>
          <cell r="G182" t="str">
            <v>LFK338</v>
          </cell>
          <cell r="H182" t="str">
            <v>AXOR 2035</v>
          </cell>
          <cell r="I182" t="str">
            <v>Colocar Compresor De Motor</v>
          </cell>
          <cell r="J182">
            <v>0</v>
          </cell>
        </row>
        <row r="183">
          <cell r="A183">
            <v>37333</v>
          </cell>
          <cell r="B183" t="str">
            <v>Correctivo</v>
          </cell>
          <cell r="C183" t="str">
            <v>CIUD</v>
          </cell>
          <cell r="D183" t="str">
            <v>No</v>
          </cell>
          <cell r="E183" t="str">
            <v>14/07/2026</v>
          </cell>
          <cell r="F183" t="str">
            <v>O</v>
          </cell>
          <cell r="G183" t="str">
            <v>LFK338</v>
          </cell>
          <cell r="H183" t="str">
            <v>AXOR 2035</v>
          </cell>
          <cell r="I183" t="str">
            <v>Colocar Compresor De Motor</v>
          </cell>
          <cell r="J183">
            <v>0</v>
          </cell>
        </row>
        <row r="184">
          <cell r="A184">
            <v>37333</v>
          </cell>
          <cell r="B184" t="str">
            <v>Correctivo</v>
          </cell>
          <cell r="C184" t="str">
            <v>CIUD</v>
          </cell>
          <cell r="D184" t="str">
            <v>No</v>
          </cell>
          <cell r="E184" t="str">
            <v>14/07/2026</v>
          </cell>
          <cell r="F184" t="str">
            <v>O</v>
          </cell>
          <cell r="G184" t="str">
            <v>LFK338</v>
          </cell>
          <cell r="H184" t="str">
            <v>AXOR 2035</v>
          </cell>
          <cell r="I184" t="str">
            <v>Colocar Cardan</v>
          </cell>
          <cell r="J184">
            <v>0</v>
          </cell>
        </row>
        <row r="185">
          <cell r="A185">
            <v>37333</v>
          </cell>
          <cell r="B185" t="str">
            <v>Correctivo</v>
          </cell>
          <cell r="C185" t="str">
            <v>CIUD</v>
          </cell>
          <cell r="D185" t="str">
            <v>No</v>
          </cell>
          <cell r="E185" t="str">
            <v>14/07/2026</v>
          </cell>
          <cell r="F185" t="str">
            <v>O</v>
          </cell>
          <cell r="G185" t="str">
            <v>LFK338</v>
          </cell>
          <cell r="H185" t="str">
            <v>AXOR 2035</v>
          </cell>
          <cell r="I185" t="str">
            <v>Cambio Sensores De Marcha Y Pasillo</v>
          </cell>
          <cell r="J185">
            <v>0</v>
          </cell>
        </row>
        <row r="186">
          <cell r="A186">
            <v>37604</v>
          </cell>
          <cell r="B186" t="str">
            <v>Correctivo</v>
          </cell>
          <cell r="C186" t="str">
            <v>CIUD</v>
          </cell>
          <cell r="D186" t="str">
            <v>No</v>
          </cell>
          <cell r="E186" t="str">
            <v>14/07/2026</v>
          </cell>
          <cell r="F186" t="str">
            <v>O</v>
          </cell>
          <cell r="G186" t="str">
            <v>OHH597</v>
          </cell>
          <cell r="H186" t="str">
            <v>ATRON 1720</v>
          </cell>
          <cell r="I186" t="str">
            <v>Cambiar lampra 21/5w 24v</v>
          </cell>
          <cell r="J186" t="str">
            <v xml:space="preserve"> - </v>
          </cell>
        </row>
        <row r="187">
          <cell r="A187">
            <v>37607</v>
          </cell>
          <cell r="B187" t="str">
            <v>Correctivo</v>
          </cell>
          <cell r="C187" t="str">
            <v>CIUD</v>
          </cell>
          <cell r="D187" t="str">
            <v>No</v>
          </cell>
          <cell r="E187" t="str">
            <v>14/07/2026</v>
          </cell>
          <cell r="F187" t="str">
            <v>O</v>
          </cell>
          <cell r="G187" t="str">
            <v>HQM968</v>
          </cell>
          <cell r="H187" t="str">
            <v>1318</v>
          </cell>
          <cell r="I187" t="str">
            <v>Cambiar lampra 21w 24v</v>
          </cell>
          <cell r="J187" t="str">
            <v xml:space="preserve"> - </v>
          </cell>
        </row>
        <row r="188">
          <cell r="A188">
            <v>37335</v>
          </cell>
          <cell r="B188" t="str">
            <v>Correctivo</v>
          </cell>
          <cell r="C188" t="str">
            <v>CIUD</v>
          </cell>
          <cell r="D188" t="str">
            <v>No</v>
          </cell>
          <cell r="E188" t="str">
            <v>15/07/2026</v>
          </cell>
          <cell r="F188" t="str">
            <v>O</v>
          </cell>
          <cell r="G188" t="str">
            <v>JKG664</v>
          </cell>
          <cell r="H188" t="str">
            <v>ATEGO 1725</v>
          </cell>
          <cell r="I188" t="str">
            <v>Cambiar Manguera De Vigia Rueda Del Der</v>
          </cell>
          <cell r="J188">
            <v>0</v>
          </cell>
        </row>
        <row r="189">
          <cell r="A189">
            <v>37337</v>
          </cell>
          <cell r="B189" t="str">
            <v>Correctivo</v>
          </cell>
          <cell r="C189" t="str">
            <v>CIUD</v>
          </cell>
          <cell r="D189" t="str">
            <v>No</v>
          </cell>
          <cell r="E189" t="str">
            <v>15/07/2026</v>
          </cell>
          <cell r="F189" t="str">
            <v>O</v>
          </cell>
          <cell r="G189" t="str">
            <v>OFV178</v>
          </cell>
          <cell r="H189" t="str">
            <v>32-CORT. LAT. 3 EJES-1</v>
          </cell>
          <cell r="I189" t="str">
            <v>Cambiar Rotor De Vigia</v>
          </cell>
          <cell r="J189" t="str">
            <v>Falta Material</v>
          </cell>
        </row>
        <row r="190">
          <cell r="A190">
            <v>37337</v>
          </cell>
          <cell r="B190" t="str">
            <v>Correctivo</v>
          </cell>
          <cell r="C190" t="str">
            <v>CIUD</v>
          </cell>
          <cell r="D190" t="str">
            <v>No</v>
          </cell>
          <cell r="E190" t="str">
            <v>15/07/2026</v>
          </cell>
          <cell r="F190" t="str">
            <v>O</v>
          </cell>
          <cell r="G190" t="str">
            <v>OFV178</v>
          </cell>
          <cell r="H190" t="str">
            <v>32-CORT. LAT. 3 EJES-1</v>
          </cell>
          <cell r="I190" t="str">
            <v>Cambio Tacos de Goma Traseros Ambos Lados</v>
          </cell>
          <cell r="J190" t="str">
            <v>Falta Material</v>
          </cell>
        </row>
        <row r="191">
          <cell r="A191">
            <v>37337</v>
          </cell>
          <cell r="B191" t="str">
            <v>Correctivo</v>
          </cell>
          <cell r="C191" t="str">
            <v>CIUD</v>
          </cell>
          <cell r="D191" t="str">
            <v>No</v>
          </cell>
          <cell r="E191" t="str">
            <v>15/07/2026</v>
          </cell>
          <cell r="F191" t="str">
            <v>O</v>
          </cell>
          <cell r="G191" t="str">
            <v>OFV178</v>
          </cell>
          <cell r="H191" t="str">
            <v>32-CORT. LAT. 3 EJES-1</v>
          </cell>
          <cell r="I191" t="str">
            <v>Cambiar Tristop 2 Eje Lado Der</v>
          </cell>
          <cell r="J191" t="str">
            <v>Falta Material</v>
          </cell>
        </row>
        <row r="192">
          <cell r="A192">
            <v>37339</v>
          </cell>
          <cell r="B192" t="str">
            <v>Correctivo</v>
          </cell>
          <cell r="C192" t="str">
            <v>CIUD</v>
          </cell>
          <cell r="D192" t="str">
            <v>No</v>
          </cell>
          <cell r="E192" t="str">
            <v>15/07/2026</v>
          </cell>
          <cell r="F192" t="str">
            <v>O</v>
          </cell>
          <cell r="G192" t="str">
            <v>JKG664</v>
          </cell>
          <cell r="H192" t="str">
            <v>ATEGO 1725</v>
          </cell>
          <cell r="I192" t="str">
            <v>Cambiar Manguera De Vigia Rueda Del Der</v>
          </cell>
          <cell r="J192" t="str">
            <v>CANCELADA</v>
          </cell>
        </row>
        <row r="193">
          <cell r="A193">
            <v>37341</v>
          </cell>
          <cell r="B193" t="str">
            <v>Correctivo</v>
          </cell>
          <cell r="C193" t="str">
            <v>SRAF</v>
          </cell>
          <cell r="D193" t="str">
            <v>No</v>
          </cell>
          <cell r="E193" t="str">
            <v>15/07/2026</v>
          </cell>
          <cell r="F193" t="str">
            <v>O</v>
          </cell>
          <cell r="G193" t="str">
            <v>JCF735</v>
          </cell>
          <cell r="H193" t="str">
            <v>1318</v>
          </cell>
          <cell r="I193" t="str">
            <v>Cambiar Faro Delantero Der</v>
          </cell>
          <cell r="J193">
            <v>0</v>
          </cell>
        </row>
        <row r="194">
          <cell r="A194">
            <v>37341</v>
          </cell>
          <cell r="B194" t="str">
            <v>Correctivo</v>
          </cell>
          <cell r="C194" t="str">
            <v>SRAF</v>
          </cell>
          <cell r="D194" t="str">
            <v>No</v>
          </cell>
          <cell r="E194" t="str">
            <v>15/07/2026</v>
          </cell>
          <cell r="F194" t="str">
            <v>O</v>
          </cell>
          <cell r="G194" t="str">
            <v>JCF735</v>
          </cell>
          <cell r="H194" t="str">
            <v>1318</v>
          </cell>
          <cell r="I194" t="str">
            <v>Cambiar Faro Delantero Izq</v>
          </cell>
          <cell r="J194">
            <v>0</v>
          </cell>
        </row>
        <row r="195">
          <cell r="A195">
            <v>37342</v>
          </cell>
          <cell r="B195" t="str">
            <v>Correctivo</v>
          </cell>
          <cell r="C195" t="str">
            <v>CIUD</v>
          </cell>
          <cell r="D195" t="str">
            <v>No</v>
          </cell>
          <cell r="E195" t="str">
            <v>15/07/2026</v>
          </cell>
          <cell r="F195" t="str">
            <v>O</v>
          </cell>
          <cell r="G195" t="str">
            <v>OAF644</v>
          </cell>
          <cell r="H195" t="str">
            <v>G310</v>
          </cell>
          <cell r="I195" t="str">
            <v>Colocar Embrague (Placa, Disco y Volante Nuevos)</v>
          </cell>
          <cell r="J195" t="str">
            <v>Falta Material</v>
          </cell>
        </row>
        <row r="196">
          <cell r="A196">
            <v>37424</v>
          </cell>
          <cell r="B196" t="str">
            <v>Correctivo</v>
          </cell>
          <cell r="C196" t="str">
            <v>CIUD</v>
          </cell>
          <cell r="D196" t="str">
            <v>No</v>
          </cell>
          <cell r="E196" t="str">
            <v>15/07/2026</v>
          </cell>
          <cell r="F196" t="str">
            <v>O</v>
          </cell>
          <cell r="G196" t="str">
            <v>BJH275</v>
          </cell>
          <cell r="H196" t="str">
            <v>1218</v>
          </cell>
          <cell r="I196" t="str">
            <v>Cambiar Aceite</v>
          </cell>
          <cell r="J196" t="str">
            <v>Falta Material</v>
          </cell>
        </row>
        <row r="197">
          <cell r="A197">
            <v>37432</v>
          </cell>
          <cell r="B197" t="str">
            <v>Correctivo</v>
          </cell>
          <cell r="C197" t="str">
            <v>CIUD</v>
          </cell>
          <cell r="D197" t="str">
            <v>No</v>
          </cell>
          <cell r="E197" t="str">
            <v>15/07/2026</v>
          </cell>
          <cell r="F197" t="str">
            <v>O</v>
          </cell>
          <cell r="G197" t="str">
            <v>AF114FN</v>
          </cell>
          <cell r="H197" t="str">
            <v>TECTOR EVO 170E28</v>
          </cell>
          <cell r="I197" t="str">
            <v>Cambiar Faro De Giro Delantero Der</v>
          </cell>
          <cell r="J197">
            <v>0</v>
          </cell>
        </row>
        <row r="198">
          <cell r="A198">
            <v>37435</v>
          </cell>
          <cell r="B198" t="str">
            <v>Correctivo</v>
          </cell>
          <cell r="C198" t="str">
            <v>CIUD</v>
          </cell>
          <cell r="D198" t="str">
            <v>No</v>
          </cell>
          <cell r="E198" t="str">
            <v>15/07/2026</v>
          </cell>
          <cell r="F198" t="str">
            <v>O</v>
          </cell>
          <cell r="G198" t="str">
            <v>AF948NA</v>
          </cell>
          <cell r="H198" t="str">
            <v>TECTOR EVO 170E28</v>
          </cell>
          <cell r="I198" t="str">
            <v>Cambiar Faro de Giro Estribo Derecho</v>
          </cell>
          <cell r="J198">
            <v>0</v>
          </cell>
        </row>
        <row r="199">
          <cell r="A199">
            <v>37437</v>
          </cell>
          <cell r="B199" t="str">
            <v>Auxilios</v>
          </cell>
          <cell r="C199" t="str">
            <v>CIUD</v>
          </cell>
          <cell r="D199" t="str">
            <v>No</v>
          </cell>
          <cell r="E199" t="str">
            <v>15/07/2026</v>
          </cell>
          <cell r="F199" t="str">
            <v>O</v>
          </cell>
          <cell r="G199" t="str">
            <v>KNE956</v>
          </cell>
          <cell r="H199" t="str">
            <v>AXOR 1933</v>
          </cell>
          <cell r="I199" t="str">
            <v>Extraer Y Cambiar Motor de Arranque</v>
          </cell>
          <cell r="J199" t="e">
            <v>#N/A</v>
          </cell>
        </row>
        <row r="200">
          <cell r="A200">
            <v>37515</v>
          </cell>
          <cell r="B200" t="str">
            <v>Preventivo</v>
          </cell>
          <cell r="C200" t="str">
            <v>MNZA</v>
          </cell>
          <cell r="D200" t="str">
            <v>No</v>
          </cell>
          <cell r="E200" t="str">
            <v>15/07/2026</v>
          </cell>
          <cell r="F200" t="str">
            <v>O</v>
          </cell>
          <cell r="G200" t="str">
            <v>GUW657</v>
          </cell>
          <cell r="H200" t="str">
            <v>1624</v>
          </cell>
          <cell r="I200" t="str">
            <v>Cambio De Aceite De Motor Y Filtro Aceite</v>
          </cell>
          <cell r="J200">
            <v>0</v>
          </cell>
        </row>
        <row r="201">
          <cell r="A201">
            <v>37516</v>
          </cell>
          <cell r="B201" t="str">
            <v>Preventivo</v>
          </cell>
          <cell r="C201" t="str">
            <v>MNZA</v>
          </cell>
          <cell r="D201" t="str">
            <v>No</v>
          </cell>
          <cell r="E201" t="str">
            <v>15/07/2026</v>
          </cell>
          <cell r="F201" t="str">
            <v>O</v>
          </cell>
          <cell r="G201" t="str">
            <v>GUW657</v>
          </cell>
          <cell r="H201" t="str">
            <v>1624</v>
          </cell>
          <cell r="I201" t="str">
            <v>Cambio De Filtro Gas Oíl Y Trampa De Agua</v>
          </cell>
          <cell r="J201">
            <v>0</v>
          </cell>
        </row>
        <row r="202">
          <cell r="A202">
            <v>37623</v>
          </cell>
          <cell r="B202" t="str">
            <v>Correctivo</v>
          </cell>
          <cell r="C202" t="str">
            <v>CIUD</v>
          </cell>
          <cell r="D202" t="str">
            <v>No</v>
          </cell>
          <cell r="E202" t="str">
            <v>15/07/2026</v>
          </cell>
          <cell r="F202" t="str">
            <v>O</v>
          </cell>
          <cell r="G202" t="str">
            <v>AF114FN</v>
          </cell>
          <cell r="H202" t="str">
            <v>TECTOR EVO 170E28</v>
          </cell>
          <cell r="I202" t="str">
            <v>Cambiar lampara h7 24v</v>
          </cell>
          <cell r="J202" t="str">
            <v xml:space="preserve"> - </v>
          </cell>
        </row>
        <row r="203">
          <cell r="A203">
            <v>37627</v>
          </cell>
          <cell r="B203" t="str">
            <v>Correctivo</v>
          </cell>
          <cell r="C203" t="str">
            <v>CIUD</v>
          </cell>
          <cell r="D203" t="str">
            <v>No</v>
          </cell>
          <cell r="E203" t="str">
            <v>15/07/2026</v>
          </cell>
          <cell r="F203" t="str">
            <v>O</v>
          </cell>
          <cell r="G203" t="str">
            <v>AF114FP</v>
          </cell>
          <cell r="H203" t="str">
            <v>TECTOR EVO 170E28</v>
          </cell>
          <cell r="I203" t="str">
            <v>Cambiar lampara h7 24v</v>
          </cell>
          <cell r="J203" t="str">
            <v xml:space="preserve"> - </v>
          </cell>
        </row>
        <row r="204">
          <cell r="A204">
            <v>37445</v>
          </cell>
          <cell r="B204" t="str">
            <v>Correctivo</v>
          </cell>
          <cell r="C204" t="str">
            <v>CIUD</v>
          </cell>
          <cell r="D204" t="str">
            <v>No</v>
          </cell>
          <cell r="E204" t="str">
            <v>16/07/2026</v>
          </cell>
          <cell r="F204" t="str">
            <v>O</v>
          </cell>
          <cell r="G204" t="str">
            <v>AD367QF</v>
          </cell>
          <cell r="H204" t="str">
            <v>S.A.P.3E.71</v>
          </cell>
          <cell r="I204" t="str">
            <v>Cambiar Cinta Frenos 3Eje Lado Izq</v>
          </cell>
          <cell r="J204">
            <v>0</v>
          </cell>
        </row>
        <row r="205">
          <cell r="A205">
            <v>37445</v>
          </cell>
          <cell r="B205" t="str">
            <v>Correctivo</v>
          </cell>
          <cell r="C205" t="str">
            <v>CIUD</v>
          </cell>
          <cell r="D205" t="str">
            <v>No</v>
          </cell>
          <cell r="E205" t="str">
            <v>16/07/2026</v>
          </cell>
          <cell r="F205" t="str">
            <v>O</v>
          </cell>
          <cell r="G205" t="str">
            <v>AD367QF</v>
          </cell>
          <cell r="H205" t="str">
            <v>S.A.P.3E.71</v>
          </cell>
          <cell r="I205" t="str">
            <v>Cambio Manguera De Vigia De Rueda Trasera Izq</v>
          </cell>
          <cell r="J205">
            <v>0</v>
          </cell>
        </row>
        <row r="206">
          <cell r="A206">
            <v>37447</v>
          </cell>
          <cell r="B206" t="str">
            <v>Correctivo</v>
          </cell>
          <cell r="C206" t="str">
            <v>CIUD</v>
          </cell>
          <cell r="D206" t="str">
            <v>No</v>
          </cell>
          <cell r="E206" t="str">
            <v>16/07/2026</v>
          </cell>
          <cell r="F206" t="str">
            <v>O</v>
          </cell>
          <cell r="G206" t="str">
            <v>AD426HT</v>
          </cell>
          <cell r="H206" t="str">
            <v>AXOR 2541</v>
          </cell>
          <cell r="I206" t="str">
            <v>Desarme y Arme Faros Traseros para Cambio de Lámpara</v>
          </cell>
          <cell r="J206" t="e">
            <v>#N/A</v>
          </cell>
        </row>
        <row r="207">
          <cell r="A207">
            <v>37453</v>
          </cell>
          <cell r="B207" t="str">
            <v>Correctivo</v>
          </cell>
          <cell r="C207" t="str">
            <v>CIUD</v>
          </cell>
          <cell r="D207" t="str">
            <v>No</v>
          </cell>
          <cell r="E207" t="str">
            <v>16/07/2026</v>
          </cell>
          <cell r="G207" t="str">
            <v>ESTRUCTURA BA</v>
          </cell>
          <cell r="H207" t="str">
            <v>ESTRUCTURA BUENOS AIRES</v>
          </cell>
          <cell r="I207" t="str">
            <v>Colocar Cilindro, Colocar Cinta, Engrasar Ruleman y Colocar Rueda Delantera Lado Izq</v>
          </cell>
          <cell r="J207">
            <v>0</v>
          </cell>
        </row>
        <row r="208">
          <cell r="A208">
            <v>37453</v>
          </cell>
          <cell r="B208" t="str">
            <v>Correctivo</v>
          </cell>
          <cell r="C208" t="str">
            <v>CIUD</v>
          </cell>
          <cell r="D208" t="str">
            <v>No</v>
          </cell>
          <cell r="E208" t="str">
            <v>16/07/2026</v>
          </cell>
          <cell r="G208" t="str">
            <v>ESTRUCTURA BA</v>
          </cell>
          <cell r="H208" t="str">
            <v>ESTRUCTURA BUENOS AIRES</v>
          </cell>
          <cell r="I208" t="str">
            <v>Colocar Cilindro, Colocar Cinta, Engrasar Ruleman y Colocar Rueda Delantera Lado Der</v>
          </cell>
          <cell r="J208">
            <v>0</v>
          </cell>
        </row>
        <row r="209">
          <cell r="A209">
            <v>37453</v>
          </cell>
          <cell r="B209" t="str">
            <v>Correctivo</v>
          </cell>
          <cell r="C209" t="str">
            <v>CIUD</v>
          </cell>
          <cell r="D209" t="str">
            <v>No</v>
          </cell>
          <cell r="E209" t="str">
            <v>16/07/2026</v>
          </cell>
          <cell r="G209" t="str">
            <v>ESTRUCTURA BA</v>
          </cell>
          <cell r="H209" t="str">
            <v>ESTRUCTURA BUENOS AIRES</v>
          </cell>
          <cell r="I209" t="str">
            <v>Colocar Cilindro, Colocar Cinta, Engrasar Ruleman y Colocar Rueda Delantera Lado Izq</v>
          </cell>
          <cell r="J209">
            <v>0</v>
          </cell>
        </row>
        <row r="210">
          <cell r="A210">
            <v>37455</v>
          </cell>
          <cell r="B210" t="str">
            <v>Correctivo</v>
          </cell>
          <cell r="C210" t="str">
            <v>CIUD</v>
          </cell>
          <cell r="D210" t="str">
            <v>No</v>
          </cell>
          <cell r="E210" t="str">
            <v>16/07/2026</v>
          </cell>
          <cell r="F210" t="str">
            <v>O</v>
          </cell>
          <cell r="G210" t="str">
            <v>GDR525</v>
          </cell>
          <cell r="H210" t="str">
            <v>1620</v>
          </cell>
          <cell r="I210" t="str">
            <v>Cambiar Vejiga Levanta Eje Der con Reforma por No Tener Respuesto</v>
          </cell>
          <cell r="J210">
            <v>0</v>
          </cell>
        </row>
        <row r="211">
          <cell r="A211">
            <v>37455</v>
          </cell>
          <cell r="B211" t="str">
            <v>Correctivo</v>
          </cell>
          <cell r="C211" t="str">
            <v>CIUD</v>
          </cell>
          <cell r="D211" t="str">
            <v>No</v>
          </cell>
          <cell r="E211" t="str">
            <v>16/07/2026</v>
          </cell>
          <cell r="F211" t="str">
            <v>O</v>
          </cell>
          <cell r="G211" t="str">
            <v>GDR525</v>
          </cell>
          <cell r="H211" t="str">
            <v>1620</v>
          </cell>
          <cell r="I211" t="str">
            <v>Cambiar Vejiga Levanta Eje Izq</v>
          </cell>
          <cell r="J211">
            <v>0</v>
          </cell>
        </row>
        <row r="212">
          <cell r="A212">
            <v>37458</v>
          </cell>
          <cell r="B212" t="str">
            <v>Preventivo</v>
          </cell>
          <cell r="C212" t="str">
            <v>SRAF</v>
          </cell>
          <cell r="D212" t="str">
            <v>No</v>
          </cell>
          <cell r="E212" t="str">
            <v>16/07/2026</v>
          </cell>
          <cell r="F212" t="str">
            <v>O</v>
          </cell>
          <cell r="G212" t="str">
            <v>KUF609</v>
          </cell>
          <cell r="H212" t="str">
            <v>AXOR 1933</v>
          </cell>
          <cell r="I212" t="str">
            <v>Cambio De Aceite De Caja</v>
          </cell>
          <cell r="J212">
            <v>0</v>
          </cell>
        </row>
        <row r="213">
          <cell r="A213">
            <v>37459</v>
          </cell>
          <cell r="B213" t="str">
            <v>Preventivo</v>
          </cell>
          <cell r="C213" t="str">
            <v>SRAF</v>
          </cell>
          <cell r="D213" t="str">
            <v>No</v>
          </cell>
          <cell r="E213" t="str">
            <v>16/07/2026</v>
          </cell>
          <cell r="F213" t="str">
            <v>O</v>
          </cell>
          <cell r="G213" t="str">
            <v>KUF609</v>
          </cell>
          <cell r="H213" t="str">
            <v>AXOR 1933</v>
          </cell>
          <cell r="I213" t="str">
            <v>Cambiar aceite de diferencial</v>
          </cell>
          <cell r="J213">
            <v>0</v>
          </cell>
        </row>
        <row r="214">
          <cell r="A214">
            <v>37464</v>
          </cell>
          <cell r="B214" t="str">
            <v>Correctivo</v>
          </cell>
          <cell r="C214" t="str">
            <v>CIUD</v>
          </cell>
          <cell r="D214" t="str">
            <v>No</v>
          </cell>
          <cell r="E214" t="str">
            <v>16/07/2026</v>
          </cell>
          <cell r="F214" t="str">
            <v>O</v>
          </cell>
          <cell r="G214" t="str">
            <v>AB029TN</v>
          </cell>
          <cell r="H214" t="str">
            <v>ACCELO 815</v>
          </cell>
          <cell r="I214" t="str">
            <v>Cambio Fusible</v>
          </cell>
          <cell r="J214">
            <v>0</v>
          </cell>
        </row>
        <row r="215">
          <cell r="A215">
            <v>37464</v>
          </cell>
          <cell r="B215" t="str">
            <v>Correctivo</v>
          </cell>
          <cell r="C215" t="str">
            <v>CIUD</v>
          </cell>
          <cell r="D215" t="str">
            <v>No</v>
          </cell>
          <cell r="E215" t="str">
            <v>16/07/2026</v>
          </cell>
          <cell r="F215" t="str">
            <v>O</v>
          </cell>
          <cell r="G215" t="str">
            <v>AB029TN</v>
          </cell>
          <cell r="H215" t="str">
            <v>ACCELO 815</v>
          </cell>
          <cell r="I215" t="str">
            <v>Cambiar Porta Lampara Lateral</v>
          </cell>
          <cell r="J215">
            <v>0</v>
          </cell>
        </row>
        <row r="216">
          <cell r="A216">
            <v>37467</v>
          </cell>
          <cell r="B216" t="str">
            <v>Preventivo</v>
          </cell>
          <cell r="C216" t="str">
            <v>CIUD</v>
          </cell>
          <cell r="D216" t="str">
            <v>No</v>
          </cell>
          <cell r="E216" t="str">
            <v>16/07/2026</v>
          </cell>
          <cell r="F216" t="str">
            <v>O</v>
          </cell>
          <cell r="G216" t="str">
            <v>AG300AQ</v>
          </cell>
          <cell r="H216" t="str">
            <v>ACTROS 2045</v>
          </cell>
          <cell r="I216" t="str">
            <v>Cambio De Aceite De Motor Y Filtro Aceite</v>
          </cell>
          <cell r="J216">
            <v>0</v>
          </cell>
        </row>
        <row r="217">
          <cell r="A217">
            <v>37468</v>
          </cell>
          <cell r="B217" t="str">
            <v>Preventivo</v>
          </cell>
          <cell r="C217" t="str">
            <v>CIUD</v>
          </cell>
          <cell r="D217" t="str">
            <v>No</v>
          </cell>
          <cell r="E217" t="str">
            <v>16/07/2026</v>
          </cell>
          <cell r="F217" t="str">
            <v>O</v>
          </cell>
          <cell r="G217" t="str">
            <v>AG300AQ</v>
          </cell>
          <cell r="H217" t="str">
            <v>ACTROS 2045</v>
          </cell>
          <cell r="I217" t="str">
            <v>Cambio De Filtro Gas Oíl Y Trampa De Agua</v>
          </cell>
          <cell r="J217">
            <v>0</v>
          </cell>
        </row>
        <row r="218">
          <cell r="A218">
            <v>37469</v>
          </cell>
          <cell r="B218" t="str">
            <v>Preventivo</v>
          </cell>
          <cell r="C218" t="str">
            <v>CIUD</v>
          </cell>
          <cell r="D218" t="str">
            <v>No</v>
          </cell>
          <cell r="E218" t="str">
            <v>16/07/2026</v>
          </cell>
          <cell r="F218" t="str">
            <v>O</v>
          </cell>
          <cell r="G218" t="str">
            <v>AG300AQ</v>
          </cell>
          <cell r="H218" t="str">
            <v>ACTROS 2045</v>
          </cell>
          <cell r="I218" t="str">
            <v>Cambiar filtro de aire</v>
          </cell>
          <cell r="J218">
            <v>0</v>
          </cell>
        </row>
        <row r="219">
          <cell r="A219">
            <v>37481</v>
          </cell>
          <cell r="B219" t="str">
            <v>Correctivo</v>
          </cell>
          <cell r="C219" t="str">
            <v>CIUD</v>
          </cell>
          <cell r="D219" t="str">
            <v>No</v>
          </cell>
          <cell r="E219" t="str">
            <v>16/07/2026</v>
          </cell>
          <cell r="F219" t="str">
            <v>O</v>
          </cell>
          <cell r="G219" t="str">
            <v>OHH592</v>
          </cell>
          <cell r="H219" t="str">
            <v>ATRON 1720</v>
          </cell>
          <cell r="I219" t="str">
            <v>Cambio Escobillas Limpiaparabrisas</v>
          </cell>
          <cell r="J219">
            <v>0</v>
          </cell>
        </row>
        <row r="220">
          <cell r="A220">
            <v>37481</v>
          </cell>
          <cell r="B220" t="str">
            <v>Correctivo</v>
          </cell>
          <cell r="C220" t="str">
            <v>CIUD</v>
          </cell>
          <cell r="D220" t="str">
            <v>No</v>
          </cell>
          <cell r="E220" t="str">
            <v>16/07/2026</v>
          </cell>
          <cell r="F220" t="str">
            <v>O</v>
          </cell>
          <cell r="G220" t="str">
            <v>OHH592</v>
          </cell>
          <cell r="H220" t="str">
            <v>ATRON 1720</v>
          </cell>
          <cell r="I220" t="str">
            <v>Cambiar Rienda De Puerta Der</v>
          </cell>
          <cell r="J220">
            <v>0</v>
          </cell>
        </row>
        <row r="221">
          <cell r="A221">
            <v>37481</v>
          </cell>
          <cell r="B221" t="str">
            <v>Correctivo</v>
          </cell>
          <cell r="C221" t="str">
            <v>CIUD</v>
          </cell>
          <cell r="D221" t="str">
            <v>No</v>
          </cell>
          <cell r="E221" t="str">
            <v>16/07/2026</v>
          </cell>
          <cell r="F221" t="str">
            <v>O</v>
          </cell>
          <cell r="G221" t="str">
            <v>OHH592</v>
          </cell>
          <cell r="H221" t="str">
            <v>ATRON 1720</v>
          </cell>
          <cell r="I221" t="str">
            <v>Colocar patente</v>
          </cell>
          <cell r="J221">
            <v>0</v>
          </cell>
        </row>
        <row r="222">
          <cell r="A222">
            <v>37484</v>
          </cell>
          <cell r="B222" t="str">
            <v>Auxilios</v>
          </cell>
          <cell r="C222" t="str">
            <v>CIUD</v>
          </cell>
          <cell r="D222" t="str">
            <v>No</v>
          </cell>
          <cell r="E222" t="str">
            <v>16/07/2026</v>
          </cell>
          <cell r="F222" t="str">
            <v>O</v>
          </cell>
          <cell r="G222" t="str">
            <v>AD426IJ</v>
          </cell>
          <cell r="H222" t="str">
            <v>AXOR 2541</v>
          </cell>
          <cell r="I222" t="str">
            <v>Cambio Filtro Secante (APU)</v>
          </cell>
          <cell r="J222" t="str">
            <v>Falta Consumos</v>
          </cell>
        </row>
        <row r="223">
          <cell r="A223">
            <v>37484</v>
          </cell>
          <cell r="B223" t="str">
            <v>Auxilios</v>
          </cell>
          <cell r="C223" t="str">
            <v>CIUD</v>
          </cell>
          <cell r="D223" t="str">
            <v>No</v>
          </cell>
          <cell r="E223" t="str">
            <v>16/07/2026</v>
          </cell>
          <cell r="F223" t="str">
            <v>O</v>
          </cell>
          <cell r="G223" t="str">
            <v>AD426IJ</v>
          </cell>
          <cell r="H223" t="str">
            <v>AXOR 2541</v>
          </cell>
          <cell r="I223" t="str">
            <v>Cambiar Gobernadora</v>
          </cell>
          <cell r="J223" t="str">
            <v>Falta Consumos</v>
          </cell>
        </row>
        <row r="224">
          <cell r="A224">
            <v>37493</v>
          </cell>
          <cell r="B224" t="str">
            <v>Auxilios</v>
          </cell>
          <cell r="C224" t="str">
            <v>MNZA</v>
          </cell>
          <cell r="D224" t="str">
            <v>No</v>
          </cell>
          <cell r="E224" t="str">
            <v>16/07/2026</v>
          </cell>
          <cell r="F224" t="str">
            <v>O</v>
          </cell>
          <cell r="G224" t="str">
            <v>LFK339</v>
          </cell>
          <cell r="H224" t="str">
            <v>AXOR 2035</v>
          </cell>
          <cell r="I224" t="str">
            <v>Cambio Filtro Secante (APU)</v>
          </cell>
          <cell r="J224">
            <v>0</v>
          </cell>
        </row>
        <row r="225">
          <cell r="A225">
            <v>37489</v>
          </cell>
          <cell r="B225" t="str">
            <v>Correctivo</v>
          </cell>
          <cell r="C225" t="str">
            <v>CIUD</v>
          </cell>
          <cell r="D225" t="str">
            <v>No</v>
          </cell>
          <cell r="E225" t="str">
            <v>17/07/2026</v>
          </cell>
          <cell r="F225" t="str">
            <v>O</v>
          </cell>
          <cell r="G225" t="str">
            <v>KNE956</v>
          </cell>
          <cell r="H225" t="str">
            <v>AXOR 1933</v>
          </cell>
          <cell r="I225" t="str">
            <v>Cambiar Cortacorriente</v>
          </cell>
          <cell r="J225" t="str">
            <v>Falta Consumos</v>
          </cell>
        </row>
        <row r="226">
          <cell r="A226">
            <v>37489</v>
          </cell>
          <cell r="B226" t="str">
            <v>Correctivo</v>
          </cell>
          <cell r="C226" t="str">
            <v>CIUD</v>
          </cell>
          <cell r="D226" t="str">
            <v>No</v>
          </cell>
          <cell r="E226" t="str">
            <v>17/07/2026</v>
          </cell>
          <cell r="F226" t="str">
            <v>O</v>
          </cell>
          <cell r="G226" t="str">
            <v>KNE956</v>
          </cell>
          <cell r="H226" t="str">
            <v>AXOR 1933</v>
          </cell>
          <cell r="I226" t="str">
            <v>Aislar y Colocar Corrugado a Intalacion de ECU</v>
          </cell>
          <cell r="J226" t="str">
            <v>Falta Consumos</v>
          </cell>
        </row>
        <row r="227">
          <cell r="A227">
            <v>37489</v>
          </cell>
          <cell r="B227" t="str">
            <v>Correctivo</v>
          </cell>
          <cell r="C227" t="str">
            <v>CIUD</v>
          </cell>
          <cell r="D227" t="str">
            <v>No</v>
          </cell>
          <cell r="E227" t="str">
            <v>17/07/2026</v>
          </cell>
          <cell r="F227" t="str">
            <v>O</v>
          </cell>
          <cell r="G227" t="str">
            <v>KNE956</v>
          </cell>
          <cell r="H227" t="str">
            <v>AXOR 1933</v>
          </cell>
          <cell r="I227" t="str">
            <v>Cambiar Estribo/Escalera Izq</v>
          </cell>
          <cell r="J227" t="str">
            <v>Falta Consumos</v>
          </cell>
        </row>
        <row r="228">
          <cell r="A228">
            <v>37489</v>
          </cell>
          <cell r="B228" t="str">
            <v>Correctivo</v>
          </cell>
          <cell r="C228" t="str">
            <v>CIUD</v>
          </cell>
          <cell r="D228" t="str">
            <v>No</v>
          </cell>
          <cell r="E228" t="str">
            <v>17/07/2026</v>
          </cell>
          <cell r="F228" t="str">
            <v>O</v>
          </cell>
          <cell r="G228" t="str">
            <v>KNE956</v>
          </cell>
          <cell r="H228" t="str">
            <v>AXOR 1933</v>
          </cell>
          <cell r="I228" t="str">
            <v>Cambiar Extremos de selectora Cambios</v>
          </cell>
          <cell r="J228" t="str">
            <v>Falta Consumos</v>
          </cell>
        </row>
        <row r="229">
          <cell r="A229">
            <v>37497</v>
          </cell>
          <cell r="B229" t="str">
            <v>Tercero</v>
          </cell>
          <cell r="C229" t="str">
            <v>MNZA</v>
          </cell>
          <cell r="D229" t="str">
            <v>No</v>
          </cell>
          <cell r="E229" t="str">
            <v>19/07/2026</v>
          </cell>
          <cell r="F229" t="str">
            <v>O</v>
          </cell>
          <cell r="G229" t="str">
            <v>IDJ796</v>
          </cell>
          <cell r="H229" t="str">
            <v>S FP 3E 98</v>
          </cell>
          <cell r="I229" t="str">
            <v>Reparar Vejiga y Cambiar Base</v>
          </cell>
          <cell r="J229" t="e">
            <v>#N/A</v>
          </cell>
        </row>
        <row r="230">
          <cell r="A230">
            <v>37498</v>
          </cell>
          <cell r="B230" t="str">
            <v>Correctivo</v>
          </cell>
          <cell r="C230" t="str">
            <v>CIUD</v>
          </cell>
          <cell r="D230" t="str">
            <v>No</v>
          </cell>
          <cell r="E230" t="str">
            <v>19/07/2026</v>
          </cell>
          <cell r="F230" t="str">
            <v>O</v>
          </cell>
          <cell r="G230" t="str">
            <v>AF114FZ</v>
          </cell>
          <cell r="H230" t="str">
            <v>ATEGO 1729</v>
          </cell>
          <cell r="I230" t="str">
            <v>Cambiar Difusor De Urea</v>
          </cell>
          <cell r="J230">
            <v>0</v>
          </cell>
        </row>
        <row r="231">
          <cell r="A231">
            <v>37498</v>
          </cell>
          <cell r="B231" t="str">
            <v>Correctivo</v>
          </cell>
          <cell r="C231" t="str">
            <v>CIUD</v>
          </cell>
          <cell r="D231" t="str">
            <v>No</v>
          </cell>
          <cell r="E231" t="str">
            <v>19/07/2026</v>
          </cell>
          <cell r="F231" t="str">
            <v>O</v>
          </cell>
          <cell r="G231" t="str">
            <v>AF114FZ</v>
          </cell>
          <cell r="H231" t="str">
            <v>ATEGO 1729</v>
          </cell>
          <cell r="I231" t="str">
            <v>Cambiar Difusor De Urea</v>
          </cell>
          <cell r="J231">
            <v>0</v>
          </cell>
        </row>
        <row r="232">
          <cell r="A232">
            <v>37498</v>
          </cell>
          <cell r="B232" t="str">
            <v>Correctivo</v>
          </cell>
          <cell r="C232" t="str">
            <v>CIUD</v>
          </cell>
          <cell r="D232" t="str">
            <v>No</v>
          </cell>
          <cell r="E232" t="str">
            <v>19/07/2026</v>
          </cell>
          <cell r="F232" t="str">
            <v>O</v>
          </cell>
          <cell r="G232" t="str">
            <v>AF114FZ</v>
          </cell>
          <cell r="H232" t="str">
            <v>ATEGO 1729</v>
          </cell>
          <cell r="I232" t="str">
            <v>Cambiar Lamparas 24V 5W Varias</v>
          </cell>
          <cell r="J232">
            <v>0</v>
          </cell>
        </row>
        <row r="233">
          <cell r="A233">
            <v>37506</v>
          </cell>
          <cell r="B233" t="str">
            <v>Correctivo</v>
          </cell>
          <cell r="C233" t="str">
            <v>CIUD</v>
          </cell>
          <cell r="D233" t="str">
            <v>No</v>
          </cell>
          <cell r="E233" t="str">
            <v>19/07/2026</v>
          </cell>
          <cell r="F233" t="str">
            <v>O</v>
          </cell>
          <cell r="G233" t="str">
            <v>KVP166</v>
          </cell>
          <cell r="H233" t="str">
            <v>FTHDCFW3</v>
          </cell>
          <cell r="I233" t="str">
            <v>Cambiar Bateria 12V Equipo De Frio (Reacondicionadas)</v>
          </cell>
          <cell r="J233">
            <v>0</v>
          </cell>
        </row>
        <row r="234">
          <cell r="A234">
            <v>37506</v>
          </cell>
          <cell r="B234" t="str">
            <v>Correctivo</v>
          </cell>
          <cell r="C234" t="str">
            <v>CIUD</v>
          </cell>
          <cell r="D234" t="str">
            <v>No</v>
          </cell>
          <cell r="E234" t="str">
            <v>19/07/2026</v>
          </cell>
          <cell r="F234" t="str">
            <v>O</v>
          </cell>
          <cell r="G234" t="str">
            <v>KVP166</v>
          </cell>
          <cell r="H234" t="str">
            <v>FTHDCFW3</v>
          </cell>
          <cell r="I234" t="str">
            <v>Cambiar Borne De Bateria Negativo</v>
          </cell>
          <cell r="J234">
            <v>0</v>
          </cell>
        </row>
        <row r="235">
          <cell r="A235">
            <v>37506</v>
          </cell>
          <cell r="B235" t="str">
            <v>Correctivo</v>
          </cell>
          <cell r="C235" t="str">
            <v>CIUD</v>
          </cell>
          <cell r="D235" t="str">
            <v>No</v>
          </cell>
          <cell r="E235" t="str">
            <v>19/07/2026</v>
          </cell>
          <cell r="F235" t="str">
            <v>O</v>
          </cell>
          <cell r="G235" t="str">
            <v>KVP166</v>
          </cell>
          <cell r="H235" t="str">
            <v>FTHDCFW3</v>
          </cell>
          <cell r="I235" t="str">
            <v>Cambiar Bateria 12V Equipo De Frio (Reacondicionadas)</v>
          </cell>
          <cell r="J235">
            <v>0</v>
          </cell>
        </row>
        <row r="236">
          <cell r="A236">
            <v>37513</v>
          </cell>
          <cell r="B236" t="str">
            <v>Correctivo</v>
          </cell>
          <cell r="C236" t="str">
            <v>CIUD</v>
          </cell>
          <cell r="D236" t="str">
            <v>No</v>
          </cell>
          <cell r="E236" t="str">
            <v>19/07/2026</v>
          </cell>
          <cell r="F236" t="str">
            <v>O</v>
          </cell>
          <cell r="G236" t="str">
            <v>AD426IH</v>
          </cell>
          <cell r="H236" t="str">
            <v>AXOR 2541</v>
          </cell>
          <cell r="I236" t="str">
            <v>Cambiar Manguera Superiror De Radiador</v>
          </cell>
          <cell r="J236">
            <v>0</v>
          </cell>
        </row>
        <row r="237">
          <cell r="A237">
            <v>37513</v>
          </cell>
          <cell r="B237" t="str">
            <v>Correctivo</v>
          </cell>
          <cell r="C237" t="str">
            <v>CIUD</v>
          </cell>
          <cell r="D237" t="str">
            <v>No</v>
          </cell>
          <cell r="E237" t="str">
            <v>19/07/2026</v>
          </cell>
          <cell r="F237" t="str">
            <v>O</v>
          </cell>
          <cell r="G237" t="str">
            <v>AD426IH</v>
          </cell>
          <cell r="H237" t="str">
            <v>AXOR 2541</v>
          </cell>
          <cell r="I237" t="str">
            <v>Cambiar Pata de Motor Delantera Izq</v>
          </cell>
          <cell r="J237">
            <v>0</v>
          </cell>
        </row>
        <row r="238">
          <cell r="A238">
            <v>37513</v>
          </cell>
          <cell r="B238" t="str">
            <v>Correctivo</v>
          </cell>
          <cell r="C238" t="str">
            <v>CIUD</v>
          </cell>
          <cell r="D238" t="str">
            <v>No</v>
          </cell>
          <cell r="E238" t="str">
            <v>19/07/2026</v>
          </cell>
          <cell r="F238" t="str">
            <v>O</v>
          </cell>
          <cell r="G238" t="str">
            <v>AD426IH</v>
          </cell>
          <cell r="H238" t="str">
            <v>AXOR 2541</v>
          </cell>
          <cell r="I238" t="str">
            <v>Cambiar Manguera Inferior De Radiador</v>
          </cell>
          <cell r="J238">
            <v>0</v>
          </cell>
        </row>
        <row r="239">
          <cell r="A239">
            <v>37513</v>
          </cell>
          <cell r="B239" t="str">
            <v>Correctivo</v>
          </cell>
          <cell r="C239" t="str">
            <v>CIUD</v>
          </cell>
          <cell r="D239" t="str">
            <v>No</v>
          </cell>
          <cell r="E239" t="str">
            <v>19/07/2026</v>
          </cell>
          <cell r="F239" t="str">
            <v>O</v>
          </cell>
          <cell r="G239" t="str">
            <v>AD426IH</v>
          </cell>
          <cell r="H239" t="str">
            <v>AXOR 2541</v>
          </cell>
          <cell r="I239" t="str">
            <v>Cambiar Tacho De Liquido Refrigente</v>
          </cell>
          <cell r="J239">
            <v>0</v>
          </cell>
        </row>
        <row r="240">
          <cell r="A240">
            <v>37524</v>
          </cell>
          <cell r="B240" t="str">
            <v>Preventivo</v>
          </cell>
          <cell r="C240" t="str">
            <v>MNZA</v>
          </cell>
          <cell r="D240" t="str">
            <v>No</v>
          </cell>
          <cell r="E240" t="str">
            <v>19/07/2026</v>
          </cell>
          <cell r="F240" t="str">
            <v>O</v>
          </cell>
          <cell r="G240" t="str">
            <v>OJG103</v>
          </cell>
          <cell r="H240" t="str">
            <v>G310</v>
          </cell>
          <cell r="I240" t="str">
            <v>Cambio De Aceite De Motor Y Filtro Aceite</v>
          </cell>
          <cell r="J240">
            <v>0</v>
          </cell>
        </row>
        <row r="241">
          <cell r="A241">
            <v>37525</v>
          </cell>
          <cell r="B241" t="str">
            <v>Preventivo</v>
          </cell>
          <cell r="C241" t="str">
            <v>MNZA</v>
          </cell>
          <cell r="D241" t="str">
            <v>No</v>
          </cell>
          <cell r="E241" t="str">
            <v>19/07/2026</v>
          </cell>
          <cell r="F241" t="str">
            <v>O</v>
          </cell>
          <cell r="G241" t="str">
            <v>OJG103</v>
          </cell>
          <cell r="H241" t="str">
            <v>G310</v>
          </cell>
          <cell r="I241" t="str">
            <v>Cambio De Filtro Gas Oíl Y Trampa De Agua</v>
          </cell>
          <cell r="J241">
            <v>0</v>
          </cell>
        </row>
        <row r="242">
          <cell r="A242">
            <v>37526</v>
          </cell>
          <cell r="B242" t="str">
            <v>Preventivo</v>
          </cell>
          <cell r="C242" t="str">
            <v>MNZA</v>
          </cell>
          <cell r="D242" t="str">
            <v>No</v>
          </cell>
          <cell r="E242" t="str">
            <v>19/07/2026</v>
          </cell>
          <cell r="F242" t="str">
            <v>O</v>
          </cell>
          <cell r="G242" t="str">
            <v>OJG103</v>
          </cell>
          <cell r="H242" t="str">
            <v>G310</v>
          </cell>
          <cell r="I242" t="str">
            <v>Cambiar filtro de aire</v>
          </cell>
          <cell r="J242">
            <v>0</v>
          </cell>
        </row>
        <row r="243">
          <cell r="A243">
            <v>37527</v>
          </cell>
          <cell r="B243" t="str">
            <v>Correctivo</v>
          </cell>
          <cell r="C243" t="str">
            <v>MNZA</v>
          </cell>
          <cell r="D243" t="str">
            <v>No</v>
          </cell>
          <cell r="E243" t="str">
            <v>19/07/2026</v>
          </cell>
          <cell r="F243" t="str">
            <v>O</v>
          </cell>
          <cell r="G243" t="str">
            <v>OJG103</v>
          </cell>
          <cell r="H243" t="str">
            <v>G310</v>
          </cell>
          <cell r="I243" t="str">
            <v>Cambiar Tensor Correa Poli V</v>
          </cell>
          <cell r="J243">
            <v>0</v>
          </cell>
        </row>
        <row r="244">
          <cell r="A244">
            <v>37527</v>
          </cell>
          <cell r="B244" t="str">
            <v>Correctivo</v>
          </cell>
          <cell r="C244" t="str">
            <v>MNZA</v>
          </cell>
          <cell r="D244" t="str">
            <v>No</v>
          </cell>
          <cell r="E244" t="str">
            <v>19/07/2026</v>
          </cell>
          <cell r="F244" t="str">
            <v>O</v>
          </cell>
          <cell r="G244" t="str">
            <v>OJG103</v>
          </cell>
          <cell r="H244" t="str">
            <v>G310</v>
          </cell>
          <cell r="I244" t="str">
            <v>Cambio Correa 10PK 2475</v>
          </cell>
          <cell r="J244">
            <v>0</v>
          </cell>
        </row>
        <row r="245">
          <cell r="A245">
            <v>37531</v>
          </cell>
          <cell r="B245" t="str">
            <v>Correctivo</v>
          </cell>
          <cell r="C245" t="str">
            <v>MNZA</v>
          </cell>
          <cell r="D245" t="str">
            <v>No</v>
          </cell>
          <cell r="E245" t="str">
            <v>19/07/2026</v>
          </cell>
          <cell r="F245" t="str">
            <v>O</v>
          </cell>
          <cell r="G245" t="str">
            <v>LTS288</v>
          </cell>
          <cell r="H245" t="str">
            <v>ATEGO 1725</v>
          </cell>
          <cell r="I245" t="str">
            <v>Cambiar lampara h7 24v</v>
          </cell>
          <cell r="J245">
            <v>0</v>
          </cell>
        </row>
        <row r="246">
          <cell r="A246">
            <v>37523</v>
          </cell>
          <cell r="B246" t="str">
            <v>Correctivo</v>
          </cell>
          <cell r="C246" t="str">
            <v>CIUD</v>
          </cell>
          <cell r="D246" t="str">
            <v>No</v>
          </cell>
          <cell r="E246" t="str">
            <v>20/07/2026</v>
          </cell>
          <cell r="F246" t="str">
            <v>O</v>
          </cell>
          <cell r="G246" t="str">
            <v>KHS012</v>
          </cell>
          <cell r="H246" t="str">
            <v>ATEGO 1418</v>
          </cell>
          <cell r="I246" t="str">
            <v>Cambiar Valvula Pedalera De Freno</v>
          </cell>
          <cell r="J246">
            <v>0</v>
          </cell>
        </row>
        <row r="247">
          <cell r="A247">
            <v>37529</v>
          </cell>
          <cell r="B247" t="str">
            <v>Correctivo</v>
          </cell>
          <cell r="C247" t="str">
            <v>CIUD</v>
          </cell>
          <cell r="D247" t="str">
            <v>No</v>
          </cell>
          <cell r="E247" t="str">
            <v>20/07/2026</v>
          </cell>
          <cell r="F247" t="str">
            <v>O</v>
          </cell>
          <cell r="G247" t="str">
            <v>AF461DA</v>
          </cell>
          <cell r="H247" t="str">
            <v>PALETERO S.PA.3E.71 2+1</v>
          </cell>
          <cell r="I247" t="str">
            <v>Cambiar Fuelle De Suspension</v>
          </cell>
          <cell r="J247" t="str">
            <v>Falta Consumos</v>
          </cell>
        </row>
        <row r="248">
          <cell r="A248">
            <v>37529</v>
          </cell>
          <cell r="B248" t="str">
            <v>Correctivo</v>
          </cell>
          <cell r="C248" t="str">
            <v>CIUD</v>
          </cell>
          <cell r="D248" t="str">
            <v>No</v>
          </cell>
          <cell r="E248" t="str">
            <v>20/07/2026</v>
          </cell>
          <cell r="F248" t="str">
            <v>O</v>
          </cell>
          <cell r="G248" t="str">
            <v>AF461DA</v>
          </cell>
          <cell r="H248" t="str">
            <v>PALETERO S.PA.3E.71 2+1</v>
          </cell>
          <cell r="I248" t="str">
            <v>Cambiar Faro Patente</v>
          </cell>
          <cell r="J248" t="str">
            <v>Falta Consumos</v>
          </cell>
        </row>
        <row r="249">
          <cell r="A249">
            <v>37541</v>
          </cell>
          <cell r="B249" t="str">
            <v>Correctivo</v>
          </cell>
          <cell r="C249" t="str">
            <v>CIUD</v>
          </cell>
          <cell r="D249" t="str">
            <v>No</v>
          </cell>
          <cell r="E249" t="str">
            <v>20/07/2026</v>
          </cell>
          <cell r="F249" t="str">
            <v>O</v>
          </cell>
          <cell r="G249" t="str">
            <v>AD426IJ</v>
          </cell>
          <cell r="H249" t="str">
            <v>AXOR 2541</v>
          </cell>
          <cell r="I249" t="str">
            <v>Cambiar Barreros</v>
          </cell>
          <cell r="J249">
            <v>0</v>
          </cell>
        </row>
        <row r="250">
          <cell r="A250">
            <v>37548</v>
          </cell>
          <cell r="B250" t="str">
            <v>Correctivo</v>
          </cell>
          <cell r="C250" t="str">
            <v>CIUD</v>
          </cell>
          <cell r="D250" t="str">
            <v>No</v>
          </cell>
          <cell r="E250" t="str">
            <v>20/07/2026</v>
          </cell>
          <cell r="F250" t="str">
            <v>O</v>
          </cell>
          <cell r="G250" t="str">
            <v>AG176NA</v>
          </cell>
          <cell r="H250" t="str">
            <v>TECTOR 160E21</v>
          </cell>
          <cell r="I250" t="str">
            <v>Cambiar Aceite</v>
          </cell>
          <cell r="J250" t="str">
            <v xml:space="preserve"> - </v>
          </cell>
        </row>
        <row r="251">
          <cell r="A251">
            <v>37549</v>
          </cell>
          <cell r="B251" t="str">
            <v>Preventivo</v>
          </cell>
          <cell r="C251" t="str">
            <v>CIUD</v>
          </cell>
          <cell r="D251" t="str">
            <v>No</v>
          </cell>
          <cell r="E251" t="str">
            <v>20/07/2026</v>
          </cell>
          <cell r="F251" t="str">
            <v>O</v>
          </cell>
          <cell r="G251" t="str">
            <v>AG176NA</v>
          </cell>
          <cell r="H251" t="str">
            <v>TECTOR 160E21</v>
          </cell>
          <cell r="I251" t="str">
            <v>Cambiar filtro de aire</v>
          </cell>
          <cell r="J251">
            <v>0</v>
          </cell>
        </row>
        <row r="252">
          <cell r="A252">
            <v>37550</v>
          </cell>
          <cell r="B252" t="str">
            <v>Correctivo</v>
          </cell>
          <cell r="C252" t="str">
            <v>CIUD</v>
          </cell>
          <cell r="D252" t="str">
            <v>No</v>
          </cell>
          <cell r="E252" t="str">
            <v>20/07/2026</v>
          </cell>
          <cell r="F252" t="str">
            <v>O</v>
          </cell>
          <cell r="G252" t="str">
            <v>JIU311</v>
          </cell>
          <cell r="H252" t="str">
            <v>AXOR 1933</v>
          </cell>
          <cell r="I252" t="str">
            <v>Cambiar Forzador De Calefaccion</v>
          </cell>
          <cell r="J252">
            <v>0</v>
          </cell>
        </row>
        <row r="253">
          <cell r="A253">
            <v>37550</v>
          </cell>
          <cell r="B253" t="str">
            <v>Correctivo</v>
          </cell>
          <cell r="C253" t="str">
            <v>CIUD</v>
          </cell>
          <cell r="D253" t="str">
            <v>No</v>
          </cell>
          <cell r="E253" t="str">
            <v>20/07/2026</v>
          </cell>
          <cell r="F253" t="str">
            <v>O</v>
          </cell>
          <cell r="G253" t="str">
            <v>JIU311</v>
          </cell>
          <cell r="H253" t="str">
            <v>AXOR 1933</v>
          </cell>
          <cell r="I253" t="str">
            <v>Cambiar Faro Trasero Izq.</v>
          </cell>
          <cell r="J253">
            <v>0</v>
          </cell>
        </row>
        <row r="254">
          <cell r="A254">
            <v>37550</v>
          </cell>
          <cell r="B254" t="str">
            <v>Correctivo</v>
          </cell>
          <cell r="C254" t="str">
            <v>CIUD</v>
          </cell>
          <cell r="D254" t="str">
            <v>No</v>
          </cell>
          <cell r="E254" t="str">
            <v>20/07/2026</v>
          </cell>
          <cell r="F254" t="str">
            <v>O</v>
          </cell>
          <cell r="G254" t="str">
            <v>JIU311</v>
          </cell>
          <cell r="H254" t="str">
            <v>AXOR 1933</v>
          </cell>
          <cell r="I254" t="str">
            <v>Cambiar Forzador De Calefaccion</v>
          </cell>
          <cell r="J254">
            <v>0</v>
          </cell>
        </row>
        <row r="255">
          <cell r="A255">
            <v>37554</v>
          </cell>
          <cell r="B255" t="str">
            <v>Correctivo</v>
          </cell>
          <cell r="C255" t="str">
            <v>CIUD</v>
          </cell>
          <cell r="D255" t="str">
            <v>No</v>
          </cell>
          <cell r="E255" t="str">
            <v>20/07/2026</v>
          </cell>
          <cell r="F255" t="str">
            <v>O</v>
          </cell>
          <cell r="G255" t="str">
            <v>KBV611</v>
          </cell>
          <cell r="H255" t="str">
            <v>1318</v>
          </cell>
          <cell r="I255" t="str">
            <v>Cambiar Forzador De Calefaccion</v>
          </cell>
          <cell r="J255">
            <v>0</v>
          </cell>
        </row>
        <row r="256">
          <cell r="A256">
            <v>37554</v>
          </cell>
          <cell r="B256" t="str">
            <v>Correctivo</v>
          </cell>
          <cell r="C256" t="str">
            <v>CIUD</v>
          </cell>
          <cell r="D256" t="str">
            <v>No</v>
          </cell>
          <cell r="E256" t="str">
            <v>20/07/2026</v>
          </cell>
          <cell r="F256" t="str">
            <v>O</v>
          </cell>
          <cell r="G256" t="str">
            <v>KBV611</v>
          </cell>
          <cell r="H256" t="str">
            <v>1318</v>
          </cell>
          <cell r="I256" t="str">
            <v>Coloco Perillas De Calefaccion</v>
          </cell>
          <cell r="J256">
            <v>0</v>
          </cell>
        </row>
        <row r="257">
          <cell r="A257">
            <v>37558</v>
          </cell>
          <cell r="B257" t="str">
            <v>Correctivo</v>
          </cell>
          <cell r="C257" t="str">
            <v>CIUD</v>
          </cell>
          <cell r="D257" t="str">
            <v>No</v>
          </cell>
          <cell r="E257" t="str">
            <v>21/07/2026</v>
          </cell>
          <cell r="F257" t="str">
            <v>O</v>
          </cell>
          <cell r="G257" t="str">
            <v>DLW395</v>
          </cell>
          <cell r="H257" t="str">
            <v>1215</v>
          </cell>
          <cell r="I257" t="str">
            <v>Cambiar Turbo Motor</v>
          </cell>
          <cell r="J257" t="str">
            <v xml:space="preserve"> - </v>
          </cell>
        </row>
        <row r="258">
          <cell r="A258">
            <v>37558</v>
          </cell>
          <cell r="B258" t="str">
            <v>Correctivo</v>
          </cell>
          <cell r="C258" t="str">
            <v>CIUD</v>
          </cell>
          <cell r="D258" t="str">
            <v>No</v>
          </cell>
          <cell r="E258" t="str">
            <v>21/07/2026</v>
          </cell>
          <cell r="F258" t="str">
            <v>O</v>
          </cell>
          <cell r="G258" t="str">
            <v>DLW395</v>
          </cell>
          <cell r="H258" t="str">
            <v>1215</v>
          </cell>
          <cell r="I258" t="str">
            <v>Cambiar Ruleman del Tensor Movil</v>
          </cell>
          <cell r="J258" t="str">
            <v xml:space="preserve"> - </v>
          </cell>
        </row>
        <row r="259">
          <cell r="A259">
            <v>37758</v>
          </cell>
          <cell r="B259" t="str">
            <v>Correctivo</v>
          </cell>
          <cell r="C259" t="str">
            <v>MNZA</v>
          </cell>
          <cell r="D259" t="str">
            <v>No</v>
          </cell>
          <cell r="E259" t="str">
            <v>21/07/2026</v>
          </cell>
          <cell r="F259" t="str">
            <v>O</v>
          </cell>
          <cell r="G259" t="str">
            <v>LFK339</v>
          </cell>
          <cell r="H259" t="str">
            <v>AXOR 2035</v>
          </cell>
          <cell r="I259" t="str">
            <v>Cambiar Manguera Espiralada De Triller</v>
          </cell>
          <cell r="J259" t="str">
            <v xml:space="preserve"> - </v>
          </cell>
        </row>
        <row r="260">
          <cell r="A260">
            <v>37758</v>
          </cell>
          <cell r="B260" t="str">
            <v>Correctivo</v>
          </cell>
          <cell r="C260" t="str">
            <v>MNZA</v>
          </cell>
          <cell r="D260" t="str">
            <v>No</v>
          </cell>
          <cell r="E260" t="str">
            <v>21/07/2026</v>
          </cell>
          <cell r="F260" t="str">
            <v>O</v>
          </cell>
          <cell r="G260" t="str">
            <v>LFK339</v>
          </cell>
          <cell r="H260" t="str">
            <v>AXOR 2035</v>
          </cell>
          <cell r="I260" t="str">
            <v>Cambiar Compresor</v>
          </cell>
          <cell r="J260" t="str">
            <v xml:space="preserve"> - </v>
          </cell>
        </row>
        <row r="261">
          <cell r="A261">
            <v>37758</v>
          </cell>
          <cell r="B261" t="str">
            <v>Correctivo</v>
          </cell>
          <cell r="C261" t="str">
            <v>MNZA</v>
          </cell>
          <cell r="D261" t="str">
            <v>No</v>
          </cell>
          <cell r="E261" t="str">
            <v>21/07/2026</v>
          </cell>
          <cell r="F261" t="str">
            <v>O</v>
          </cell>
          <cell r="G261" t="str">
            <v>LFK339</v>
          </cell>
          <cell r="H261" t="str">
            <v>AXOR 2035</v>
          </cell>
          <cell r="I261" t="str">
            <v>Cambiar Manguera Bajada De Vigia Delantera</v>
          </cell>
          <cell r="J261" t="str">
            <v xml:space="preserve"> - </v>
          </cell>
        </row>
        <row r="262">
          <cell r="A262">
            <v>37772</v>
          </cell>
          <cell r="B262" t="str">
            <v>Correctivo</v>
          </cell>
          <cell r="C262" t="str">
            <v>CIUD</v>
          </cell>
          <cell r="D262" t="str">
            <v>No</v>
          </cell>
          <cell r="E262" t="str">
            <v>21/07/2026</v>
          </cell>
          <cell r="F262" t="str">
            <v>O</v>
          </cell>
          <cell r="G262" t="str">
            <v>IDX165</v>
          </cell>
          <cell r="H262" t="str">
            <v>AXOR 1933</v>
          </cell>
          <cell r="I262" t="str">
            <v>Cambiar Manguera de Agua a Base de Termostato</v>
          </cell>
          <cell r="J262" t="str">
            <v xml:space="preserve"> - </v>
          </cell>
        </row>
        <row r="263">
          <cell r="A263">
            <v>37772</v>
          </cell>
          <cell r="B263" t="str">
            <v>Correctivo</v>
          </cell>
          <cell r="C263" t="str">
            <v>CIUD</v>
          </cell>
          <cell r="D263" t="str">
            <v>No</v>
          </cell>
          <cell r="E263" t="str">
            <v>21/07/2026</v>
          </cell>
          <cell r="F263" t="str">
            <v>O</v>
          </cell>
          <cell r="G263" t="str">
            <v>IDX165</v>
          </cell>
          <cell r="H263" t="str">
            <v>AXOR 1933</v>
          </cell>
          <cell r="I263" t="str">
            <v>Cambiar Gobernadora</v>
          </cell>
          <cell r="J263" t="str">
            <v xml:space="preserve"> - </v>
          </cell>
        </row>
        <row r="264">
          <cell r="A264">
            <v>37772</v>
          </cell>
          <cell r="B264" t="str">
            <v>Correctivo</v>
          </cell>
          <cell r="C264" t="str">
            <v>CIUD</v>
          </cell>
          <cell r="D264" t="str">
            <v>No</v>
          </cell>
          <cell r="E264" t="str">
            <v>21/07/2026</v>
          </cell>
          <cell r="F264" t="str">
            <v>O</v>
          </cell>
          <cell r="G264" t="str">
            <v>IDX165</v>
          </cell>
          <cell r="H264" t="str">
            <v>AXOR 1933</v>
          </cell>
          <cell r="I264" t="str">
            <v>Cambiar lampra 21/5w 24v</v>
          </cell>
          <cell r="J264" t="str">
            <v xml:space="preserve"> - </v>
          </cell>
        </row>
        <row r="265">
          <cell r="A265">
            <v>37772</v>
          </cell>
          <cell r="B265" t="str">
            <v>Correctivo</v>
          </cell>
          <cell r="C265" t="str">
            <v>CIUD</v>
          </cell>
          <cell r="D265" t="str">
            <v>No</v>
          </cell>
          <cell r="E265" t="str">
            <v>21/07/2026</v>
          </cell>
          <cell r="F265" t="str">
            <v>O</v>
          </cell>
          <cell r="G265" t="str">
            <v>IDX165</v>
          </cell>
          <cell r="H265" t="str">
            <v>AXOR 1933</v>
          </cell>
          <cell r="I265" t="str">
            <v>Cambiar Fusible 15 Amp</v>
          </cell>
          <cell r="J265" t="str">
            <v xml:space="preserve"> - </v>
          </cell>
        </row>
        <row r="266">
          <cell r="A266">
            <v>37772</v>
          </cell>
          <cell r="B266" t="str">
            <v>Correctivo</v>
          </cell>
          <cell r="C266" t="str">
            <v>CIUD</v>
          </cell>
          <cell r="D266" t="str">
            <v>No</v>
          </cell>
          <cell r="E266" t="str">
            <v>21/07/2026</v>
          </cell>
          <cell r="F266" t="str">
            <v>O</v>
          </cell>
          <cell r="G266" t="str">
            <v>IDX165</v>
          </cell>
          <cell r="H266" t="str">
            <v>AXOR 1933</v>
          </cell>
          <cell r="I266" t="str">
            <v>Cambiar Portalampara de Giro Izq</v>
          </cell>
          <cell r="J266" t="str">
            <v xml:space="preserve"> - </v>
          </cell>
        </row>
        <row r="267">
          <cell r="A267">
            <v>37777</v>
          </cell>
          <cell r="B267" t="str">
            <v>Correctivo</v>
          </cell>
          <cell r="C267" t="str">
            <v>CIUD</v>
          </cell>
          <cell r="D267" t="str">
            <v>No</v>
          </cell>
          <cell r="E267" t="str">
            <v>21/07/2026</v>
          </cell>
          <cell r="F267" t="str">
            <v>O</v>
          </cell>
          <cell r="G267" t="str">
            <v>OJG098</v>
          </cell>
          <cell r="H267" t="str">
            <v>ATEGO 1725</v>
          </cell>
          <cell r="I267" t="str">
            <v>Cambiar Cubierta Taco TDI-TDE Desarme y Arme</v>
          </cell>
          <cell r="J267" t="str">
            <v xml:space="preserve"> - </v>
          </cell>
        </row>
        <row r="268">
          <cell r="A268">
            <v>37777</v>
          </cell>
          <cell r="B268" t="str">
            <v>Correctivo</v>
          </cell>
          <cell r="C268" t="str">
            <v>CIUD</v>
          </cell>
          <cell r="D268" t="str">
            <v>No</v>
          </cell>
          <cell r="E268" t="str">
            <v>21/07/2026</v>
          </cell>
          <cell r="F268" t="str">
            <v>O</v>
          </cell>
          <cell r="G268" t="str">
            <v>OJG098</v>
          </cell>
          <cell r="H268" t="str">
            <v>ATEGO 1725</v>
          </cell>
          <cell r="I268" t="str">
            <v>Cambiar Cubierta Taco TDI-TDE Desarme y Arme</v>
          </cell>
          <cell r="J268" t="str">
            <v xml:space="preserve"> - </v>
          </cell>
        </row>
        <row r="269">
          <cell r="A269">
            <v>37780</v>
          </cell>
          <cell r="B269" t="str">
            <v>Correctivo</v>
          </cell>
          <cell r="C269" t="str">
            <v>CIUD</v>
          </cell>
          <cell r="D269" t="str">
            <v>No</v>
          </cell>
          <cell r="E269" t="str">
            <v>21/07/2026</v>
          </cell>
          <cell r="F269" t="str">
            <v>O</v>
          </cell>
          <cell r="G269" t="str">
            <v>AF461DA</v>
          </cell>
          <cell r="H269" t="str">
            <v>PALETERO S.PA.3E.71 2+1</v>
          </cell>
          <cell r="I269" t="str">
            <v>Cambiar Ficha de Triller Ambas</v>
          </cell>
          <cell r="J269" t="str">
            <v xml:space="preserve"> - </v>
          </cell>
        </row>
        <row r="270">
          <cell r="A270">
            <v>37782</v>
          </cell>
          <cell r="B270" t="str">
            <v>Correctivo</v>
          </cell>
          <cell r="C270" t="str">
            <v>CIUD</v>
          </cell>
          <cell r="D270" t="str">
            <v>No</v>
          </cell>
          <cell r="E270" t="str">
            <v>21/07/2026</v>
          </cell>
          <cell r="F270" t="str">
            <v>O</v>
          </cell>
          <cell r="G270" t="str">
            <v>OJG065</v>
          </cell>
          <cell r="H270" t="str">
            <v>ATRON 1720</v>
          </cell>
          <cell r="I270" t="str">
            <v>Cambiar maquina levanta cristal izquierdo</v>
          </cell>
          <cell r="J270" t="str">
            <v xml:space="preserve"> - </v>
          </cell>
        </row>
        <row r="271">
          <cell r="A271">
            <v>37784</v>
          </cell>
          <cell r="B271" t="str">
            <v>Correctivo</v>
          </cell>
          <cell r="C271" t="str">
            <v>CIUD</v>
          </cell>
          <cell r="D271" t="str">
            <v>No</v>
          </cell>
          <cell r="E271" t="str">
            <v>21/07/2026</v>
          </cell>
          <cell r="F271" t="str">
            <v>O</v>
          </cell>
          <cell r="G271" t="str">
            <v>AF066NT</v>
          </cell>
          <cell r="H271" t="str">
            <v>TECTOR EVO 170E28</v>
          </cell>
          <cell r="I271" t="str">
            <v>Cambio Fusible</v>
          </cell>
          <cell r="J271" t="str">
            <v xml:space="preserve"> - </v>
          </cell>
        </row>
        <row r="272">
          <cell r="A272">
            <v>37790</v>
          </cell>
          <cell r="B272" t="str">
            <v>Correctivo</v>
          </cell>
          <cell r="C272" t="str">
            <v>MNZA</v>
          </cell>
          <cell r="D272" t="str">
            <v>No</v>
          </cell>
          <cell r="E272" t="str">
            <v>21/07/2026</v>
          </cell>
          <cell r="F272" t="str">
            <v>O</v>
          </cell>
          <cell r="G272" t="str">
            <v>OZH811</v>
          </cell>
          <cell r="H272" t="str">
            <v>ATEGO 1725</v>
          </cell>
          <cell r="I272" t="str">
            <v>Cambiar lampara h7 24v</v>
          </cell>
          <cell r="J272" t="str">
            <v xml:space="preserve"> - </v>
          </cell>
        </row>
        <row r="273">
          <cell r="A273">
            <v>37791</v>
          </cell>
          <cell r="B273" t="str">
            <v>Preventivo</v>
          </cell>
          <cell r="C273" t="str">
            <v>MNZA</v>
          </cell>
          <cell r="D273" t="str">
            <v>No</v>
          </cell>
          <cell r="E273" t="str">
            <v>21/07/2026</v>
          </cell>
          <cell r="F273" t="str">
            <v>O</v>
          </cell>
          <cell r="G273" t="str">
            <v>KIP032</v>
          </cell>
          <cell r="H273" t="str">
            <v>ATEGO 1725</v>
          </cell>
          <cell r="I273" t="str">
            <v>Cambio De Aceite De Motor Y Filtro Aceite</v>
          </cell>
          <cell r="J273" t="str">
            <v xml:space="preserve"> - </v>
          </cell>
        </row>
        <row r="274">
          <cell r="A274">
            <v>37792</v>
          </cell>
          <cell r="B274" t="str">
            <v>Preventivo</v>
          </cell>
          <cell r="C274" t="str">
            <v>MNZA</v>
          </cell>
          <cell r="D274" t="str">
            <v>No</v>
          </cell>
          <cell r="E274" t="str">
            <v>21/07/2026</v>
          </cell>
          <cell r="F274" t="str">
            <v>O</v>
          </cell>
          <cell r="G274" t="str">
            <v>KIP032</v>
          </cell>
          <cell r="H274" t="str">
            <v>ATEGO 1725</v>
          </cell>
          <cell r="I274" t="str">
            <v>Cambio De Filtro Gas Oíl Y Trampa De Agua</v>
          </cell>
          <cell r="J274" t="str">
            <v xml:space="preserve"> - </v>
          </cell>
        </row>
        <row r="275">
          <cell r="A275">
            <v>37794</v>
          </cell>
          <cell r="B275" t="str">
            <v>Preventivo</v>
          </cell>
          <cell r="C275" t="str">
            <v>MNZA</v>
          </cell>
          <cell r="D275" t="str">
            <v>No</v>
          </cell>
          <cell r="E275" t="str">
            <v>21/07/2026</v>
          </cell>
          <cell r="F275" t="str">
            <v>O</v>
          </cell>
          <cell r="G275" t="str">
            <v>KIP032</v>
          </cell>
          <cell r="H275" t="str">
            <v>ATEGO 1725</v>
          </cell>
          <cell r="I275" t="str">
            <v>Cambiar filtro de aire</v>
          </cell>
          <cell r="J275" t="str">
            <v xml:space="preserve"> - </v>
          </cell>
        </row>
        <row r="276">
          <cell r="A276">
            <v>37787</v>
          </cell>
          <cell r="B276" t="str">
            <v>Correctivo</v>
          </cell>
          <cell r="C276" t="str">
            <v>SRAF</v>
          </cell>
          <cell r="D276" t="str">
            <v>No</v>
          </cell>
          <cell r="E276" t="str">
            <v>22/07/2026</v>
          </cell>
          <cell r="F276" t="str">
            <v>O</v>
          </cell>
          <cell r="G276" t="str">
            <v>LFK337</v>
          </cell>
          <cell r="H276" t="str">
            <v>AXOR 2035</v>
          </cell>
          <cell r="I276" t="str">
            <v>Cambiar ficha de sensor valvula 4 vias</v>
          </cell>
          <cell r="J276" t="str">
            <v xml:space="preserve"> - </v>
          </cell>
        </row>
        <row r="277">
          <cell r="A277">
            <v>37795</v>
          </cell>
          <cell r="B277" t="str">
            <v>Preventivo</v>
          </cell>
          <cell r="C277" t="str">
            <v>MNZA</v>
          </cell>
          <cell r="D277" t="str">
            <v>No</v>
          </cell>
          <cell r="E277" t="str">
            <v>22/07/2026</v>
          </cell>
          <cell r="G277" t="str">
            <v>NVX394</v>
          </cell>
          <cell r="H277" t="str">
            <v>RANGER2</v>
          </cell>
          <cell r="I277" t="str">
            <v>Cambio De Aceite De Motor Y Filtro Aceite</v>
          </cell>
          <cell r="J277" t="str">
            <v xml:space="preserve"> - </v>
          </cell>
        </row>
        <row r="278">
          <cell r="A278">
            <v>37796</v>
          </cell>
          <cell r="B278" t="str">
            <v>Preventivo</v>
          </cell>
          <cell r="C278" t="str">
            <v>MNZA</v>
          </cell>
          <cell r="D278" t="str">
            <v>No</v>
          </cell>
          <cell r="E278" t="str">
            <v>22/07/2026</v>
          </cell>
          <cell r="G278" t="str">
            <v>NVX394</v>
          </cell>
          <cell r="H278" t="str">
            <v>RANGER2</v>
          </cell>
          <cell r="I278" t="str">
            <v>Cambiar Filtro De Combustible</v>
          </cell>
          <cell r="J278" t="str">
            <v xml:space="preserve"> - </v>
          </cell>
        </row>
        <row r="279">
          <cell r="A279">
            <v>37797</v>
          </cell>
          <cell r="B279" t="str">
            <v>Preventivo</v>
          </cell>
          <cell r="C279" t="str">
            <v>MNZA</v>
          </cell>
          <cell r="D279" t="str">
            <v>No</v>
          </cell>
          <cell r="E279" t="str">
            <v>22/07/2026</v>
          </cell>
          <cell r="G279" t="str">
            <v>NVX394</v>
          </cell>
          <cell r="H279" t="str">
            <v>RANGER2</v>
          </cell>
          <cell r="I279" t="str">
            <v>Cambiar filtro de aire</v>
          </cell>
          <cell r="J279" t="str">
            <v xml:space="preserve"> - </v>
          </cell>
        </row>
        <row r="280">
          <cell r="A280">
            <v>37798</v>
          </cell>
          <cell r="B280" t="str">
            <v>Correctivo</v>
          </cell>
          <cell r="C280" t="str">
            <v>MNZA</v>
          </cell>
          <cell r="D280" t="str">
            <v>No</v>
          </cell>
          <cell r="E280" t="str">
            <v>22/07/2026</v>
          </cell>
          <cell r="F280" t="str">
            <v>O</v>
          </cell>
          <cell r="G280" t="str">
            <v>KLY974</v>
          </cell>
          <cell r="H280" t="str">
            <v>FTHDCFW3</v>
          </cell>
          <cell r="I280" t="str">
            <v>Cambiar Cubierta 2IE</v>
          </cell>
          <cell r="J280" t="str">
            <v xml:space="preserve"> - </v>
          </cell>
        </row>
        <row r="281">
          <cell r="A281">
            <v>37798</v>
          </cell>
          <cell r="B281" t="str">
            <v>Correctivo</v>
          </cell>
          <cell r="C281" t="str">
            <v>MNZA</v>
          </cell>
          <cell r="D281" t="str">
            <v>No</v>
          </cell>
          <cell r="E281" t="str">
            <v>22/07/2026</v>
          </cell>
          <cell r="F281" t="str">
            <v>O</v>
          </cell>
          <cell r="G281" t="str">
            <v>KLY974</v>
          </cell>
          <cell r="H281" t="str">
            <v>FTHDCFW3</v>
          </cell>
          <cell r="I281" t="str">
            <v>Cambiar lampara 5w 24v</v>
          </cell>
          <cell r="J281" t="str">
            <v xml:space="preserve"> - </v>
          </cell>
        </row>
        <row r="282">
          <cell r="A282">
            <v>37798</v>
          </cell>
          <cell r="B282" t="str">
            <v>Correctivo</v>
          </cell>
          <cell r="C282" t="str">
            <v>MNZA</v>
          </cell>
          <cell r="D282" t="str">
            <v>No</v>
          </cell>
          <cell r="E282" t="str">
            <v>22/07/2026</v>
          </cell>
          <cell r="F282" t="str">
            <v>O</v>
          </cell>
          <cell r="G282" t="str">
            <v>KLY974</v>
          </cell>
          <cell r="H282" t="str">
            <v>FTHDCFW3</v>
          </cell>
          <cell r="I282" t="str">
            <v>Cambiar guardabarro</v>
          </cell>
          <cell r="J282" t="str">
            <v xml:space="preserve"> - </v>
          </cell>
        </row>
        <row r="283">
          <cell r="A283">
            <v>37798</v>
          </cell>
          <cell r="B283" t="str">
            <v>Correctivo</v>
          </cell>
          <cell r="C283" t="str">
            <v>MNZA</v>
          </cell>
          <cell r="D283" t="str">
            <v>No</v>
          </cell>
          <cell r="E283" t="str">
            <v>22/07/2026</v>
          </cell>
          <cell r="F283" t="str">
            <v>O</v>
          </cell>
          <cell r="G283" t="str">
            <v>KLY974</v>
          </cell>
          <cell r="H283" t="str">
            <v>FTHDCFW3</v>
          </cell>
          <cell r="I283" t="str">
            <v>Cambiar Cubierta 2II</v>
          </cell>
          <cell r="J283" t="str">
            <v xml:space="preserve"> - </v>
          </cell>
        </row>
        <row r="284">
          <cell r="A284">
            <v>37798</v>
          </cell>
          <cell r="B284" t="str">
            <v>Correctivo</v>
          </cell>
          <cell r="C284" t="str">
            <v>MNZA</v>
          </cell>
          <cell r="D284" t="str">
            <v>No</v>
          </cell>
          <cell r="E284" t="str">
            <v>22/07/2026</v>
          </cell>
          <cell r="F284" t="str">
            <v>O</v>
          </cell>
          <cell r="G284" t="str">
            <v>KLY974</v>
          </cell>
          <cell r="H284" t="str">
            <v>FTHDCFW3</v>
          </cell>
          <cell r="I284" t="str">
            <v>Cambiar Faro Trasero</v>
          </cell>
          <cell r="J284" t="str">
            <v xml:space="preserve"> - </v>
          </cell>
        </row>
        <row r="285">
          <cell r="A285">
            <v>37798</v>
          </cell>
          <cell r="B285" t="str">
            <v>Correctivo</v>
          </cell>
          <cell r="C285" t="str">
            <v>MNZA</v>
          </cell>
          <cell r="D285" t="str">
            <v>No</v>
          </cell>
          <cell r="E285" t="str">
            <v>22/07/2026</v>
          </cell>
          <cell r="F285" t="str">
            <v>O</v>
          </cell>
          <cell r="G285" t="str">
            <v>KLY974</v>
          </cell>
          <cell r="H285" t="str">
            <v>FTHDCFW3</v>
          </cell>
          <cell r="I285" t="str">
            <v>Cambiar Cubierta 3IE</v>
          </cell>
          <cell r="J285" t="str">
            <v xml:space="preserve"> - </v>
          </cell>
        </row>
        <row r="286">
          <cell r="A286">
            <v>37798</v>
          </cell>
          <cell r="B286" t="str">
            <v>Correctivo</v>
          </cell>
          <cell r="C286" t="str">
            <v>MNZA</v>
          </cell>
          <cell r="D286" t="str">
            <v>No</v>
          </cell>
          <cell r="E286" t="str">
            <v>22/07/2026</v>
          </cell>
          <cell r="F286" t="str">
            <v>O</v>
          </cell>
          <cell r="G286" t="str">
            <v>KLY974</v>
          </cell>
          <cell r="H286" t="str">
            <v>FTHDCFW3</v>
          </cell>
          <cell r="I286" t="str">
            <v>Cambiar Barreros</v>
          </cell>
          <cell r="J286" t="str">
            <v xml:space="preserve"> - </v>
          </cell>
        </row>
        <row r="287">
          <cell r="A287">
            <v>37798</v>
          </cell>
          <cell r="B287" t="str">
            <v>Correctivo</v>
          </cell>
          <cell r="C287" t="str">
            <v>MNZA</v>
          </cell>
          <cell r="D287" t="str">
            <v>No</v>
          </cell>
          <cell r="E287" t="str">
            <v>22/07/2026</v>
          </cell>
          <cell r="F287" t="str">
            <v>O</v>
          </cell>
          <cell r="G287" t="str">
            <v>KLY974</v>
          </cell>
          <cell r="H287" t="str">
            <v>FTHDCFW3</v>
          </cell>
          <cell r="I287" t="str">
            <v>Cambiar Cubierta 3II</v>
          </cell>
          <cell r="J287" t="str">
            <v xml:space="preserve"> - </v>
          </cell>
        </row>
        <row r="288">
          <cell r="A288">
            <v>37799</v>
          </cell>
          <cell r="B288" t="str">
            <v>Preventivo</v>
          </cell>
          <cell r="C288" t="str">
            <v>MNZA</v>
          </cell>
          <cell r="D288" t="str">
            <v>No</v>
          </cell>
          <cell r="E288" t="str">
            <v>22/07/2026</v>
          </cell>
          <cell r="F288" t="str">
            <v>O</v>
          </cell>
          <cell r="G288" t="str">
            <v>GLT551</v>
          </cell>
          <cell r="H288" t="str">
            <v>1624</v>
          </cell>
          <cell r="I288" t="str">
            <v>Cambio De Aceite De Motor Y Filtro Aceite</v>
          </cell>
          <cell r="J288" t="str">
            <v xml:space="preserve"> - </v>
          </cell>
        </row>
        <row r="289">
          <cell r="A289">
            <v>37800</v>
          </cell>
          <cell r="B289" t="str">
            <v>Preventivo</v>
          </cell>
          <cell r="C289" t="str">
            <v>MNZA</v>
          </cell>
          <cell r="D289" t="str">
            <v>No</v>
          </cell>
          <cell r="E289" t="str">
            <v>22/07/2026</v>
          </cell>
          <cell r="F289" t="str">
            <v>O</v>
          </cell>
          <cell r="G289" t="str">
            <v>GLT551</v>
          </cell>
          <cell r="H289" t="str">
            <v>1624</v>
          </cell>
          <cell r="I289" t="str">
            <v>Cambio De Filtro Gas Oíl Y Trampa De Agua</v>
          </cell>
          <cell r="J289" t="str">
            <v xml:space="preserve"> - </v>
          </cell>
        </row>
        <row r="290">
          <cell r="A290">
            <v>37801</v>
          </cell>
          <cell r="B290" t="str">
            <v>Preventivo</v>
          </cell>
          <cell r="C290" t="str">
            <v>MNZA</v>
          </cell>
          <cell r="D290" t="str">
            <v>No</v>
          </cell>
          <cell r="E290" t="str">
            <v>22/07/2026</v>
          </cell>
          <cell r="F290" t="str">
            <v>O</v>
          </cell>
          <cell r="G290" t="str">
            <v>GLT551</v>
          </cell>
          <cell r="H290" t="str">
            <v>1624</v>
          </cell>
          <cell r="I290" t="str">
            <v>Cambiar filtro de aire</v>
          </cell>
          <cell r="J290" t="str">
            <v xml:space="preserve"> - </v>
          </cell>
        </row>
        <row r="291">
          <cell r="A291">
            <v>37802</v>
          </cell>
          <cell r="B291" t="str">
            <v>Correctivo</v>
          </cell>
          <cell r="C291" t="str">
            <v>MNZA</v>
          </cell>
          <cell r="D291" t="str">
            <v>No</v>
          </cell>
          <cell r="E291" t="str">
            <v>22/07/2026</v>
          </cell>
          <cell r="F291" t="str">
            <v>O</v>
          </cell>
          <cell r="G291" t="str">
            <v>GLT551</v>
          </cell>
          <cell r="H291" t="str">
            <v>1624</v>
          </cell>
          <cell r="I291" t="str">
            <v>Cambiar Correa 1380</v>
          </cell>
          <cell r="J291" t="str">
            <v xml:space="preserve"> - </v>
          </cell>
        </row>
        <row r="292">
          <cell r="A292">
            <v>37802</v>
          </cell>
          <cell r="B292" t="str">
            <v>Correctivo</v>
          </cell>
          <cell r="C292" t="str">
            <v>MNZA</v>
          </cell>
          <cell r="D292" t="str">
            <v>No</v>
          </cell>
          <cell r="E292" t="str">
            <v>22/07/2026</v>
          </cell>
          <cell r="F292" t="str">
            <v>O</v>
          </cell>
          <cell r="G292" t="str">
            <v>GLT551</v>
          </cell>
          <cell r="H292" t="str">
            <v>1624</v>
          </cell>
          <cell r="I292" t="str">
            <v>Cambiar Sensor Nivel De Refrigerante</v>
          </cell>
          <cell r="J292" t="str">
            <v xml:space="preserve"> - </v>
          </cell>
        </row>
        <row r="293">
          <cell r="A293">
            <v>37804</v>
          </cell>
          <cell r="B293" t="str">
            <v>Preventivo</v>
          </cell>
          <cell r="C293" t="str">
            <v>MNZA</v>
          </cell>
          <cell r="D293" t="str">
            <v>No</v>
          </cell>
          <cell r="E293" t="str">
            <v>22/07/2026</v>
          </cell>
          <cell r="F293" t="str">
            <v>O</v>
          </cell>
          <cell r="G293" t="str">
            <v>OAF641</v>
          </cell>
          <cell r="H293" t="str">
            <v>G310</v>
          </cell>
          <cell r="I293" t="str">
            <v>Cambio De Aceite De Motor Y Filtro Aceite</v>
          </cell>
          <cell r="J293" t="str">
            <v xml:space="preserve"> - </v>
          </cell>
        </row>
        <row r="294">
          <cell r="A294">
            <v>37805</v>
          </cell>
          <cell r="B294" t="str">
            <v>Preventivo</v>
          </cell>
          <cell r="C294" t="str">
            <v>MNZA</v>
          </cell>
          <cell r="D294" t="str">
            <v>No</v>
          </cell>
          <cell r="E294" t="str">
            <v>22/07/2026</v>
          </cell>
          <cell r="F294" t="str">
            <v>O</v>
          </cell>
          <cell r="G294" t="str">
            <v>OAF641</v>
          </cell>
          <cell r="H294" t="str">
            <v>G310</v>
          </cell>
          <cell r="I294" t="str">
            <v>Cambio De Filtro Gas Oíl Y Trampa De Agua</v>
          </cell>
          <cell r="J294" t="str">
            <v xml:space="preserve"> - </v>
          </cell>
        </row>
        <row r="295">
          <cell r="A295">
            <v>37806</v>
          </cell>
          <cell r="B295" t="str">
            <v>Preventivo</v>
          </cell>
          <cell r="C295" t="str">
            <v>MNZA</v>
          </cell>
          <cell r="D295" t="str">
            <v>No</v>
          </cell>
          <cell r="E295" t="str">
            <v>22/07/2026</v>
          </cell>
          <cell r="F295" t="str">
            <v>O</v>
          </cell>
          <cell r="G295" t="str">
            <v>OAF641</v>
          </cell>
          <cell r="H295" t="str">
            <v>G310</v>
          </cell>
          <cell r="I295" t="str">
            <v>Cambiar filtro de aire</v>
          </cell>
          <cell r="J295" t="str">
            <v xml:space="preserve"> - </v>
          </cell>
        </row>
        <row r="296">
          <cell r="A296">
            <v>37812</v>
          </cell>
          <cell r="B296" t="str">
            <v>Correctivo</v>
          </cell>
          <cell r="C296" t="str">
            <v>CIUD</v>
          </cell>
          <cell r="D296" t="str">
            <v>No</v>
          </cell>
          <cell r="E296" t="str">
            <v>22/07/2026</v>
          </cell>
          <cell r="F296" t="str">
            <v>O</v>
          </cell>
          <cell r="G296" t="str">
            <v>GDR526</v>
          </cell>
          <cell r="H296" t="str">
            <v>1620</v>
          </cell>
          <cell r="I296" t="str">
            <v>Cambiar Faro Delantero Izq</v>
          </cell>
          <cell r="J296" t="str">
            <v xml:space="preserve"> - </v>
          </cell>
        </row>
        <row r="297">
          <cell r="A297">
            <v>37814</v>
          </cell>
          <cell r="B297" t="str">
            <v>Correctivo</v>
          </cell>
          <cell r="C297" t="str">
            <v>CIUD</v>
          </cell>
          <cell r="D297" t="str">
            <v>No</v>
          </cell>
          <cell r="E297" t="str">
            <v>22/07/2026</v>
          </cell>
          <cell r="F297" t="str">
            <v>O</v>
          </cell>
          <cell r="G297" t="str">
            <v>AG095MR</v>
          </cell>
          <cell r="H297" t="str">
            <v>ATEGO 1721</v>
          </cell>
          <cell r="I297" t="str">
            <v>Cambiar lampara h7 24v</v>
          </cell>
          <cell r="J297" t="str">
            <v xml:space="preserve"> - </v>
          </cell>
        </row>
        <row r="298">
          <cell r="A298">
            <v>37815</v>
          </cell>
          <cell r="B298" t="str">
            <v>Auxilios</v>
          </cell>
          <cell r="C298" t="str">
            <v>CIUD</v>
          </cell>
          <cell r="D298" t="str">
            <v>No</v>
          </cell>
          <cell r="E298" t="str">
            <v>22/07/2026</v>
          </cell>
          <cell r="F298" t="str">
            <v>O</v>
          </cell>
          <cell r="G298" t="str">
            <v>AD367QA</v>
          </cell>
          <cell r="H298" t="str">
            <v>S.A.P.3E.71</v>
          </cell>
          <cell r="I298" t="str">
            <v>Colocar tornillo a parabicicletas izq</v>
          </cell>
          <cell r="J298" t="str">
            <v xml:space="preserve"> - </v>
          </cell>
        </row>
        <row r="299">
          <cell r="A299">
            <v>37822</v>
          </cell>
          <cell r="B299" t="str">
            <v>Correctivo</v>
          </cell>
          <cell r="C299" t="str">
            <v>CIUD</v>
          </cell>
          <cell r="D299" t="str">
            <v>No</v>
          </cell>
          <cell r="E299" t="str">
            <v>23/07/2026</v>
          </cell>
          <cell r="F299" t="str">
            <v>O</v>
          </cell>
          <cell r="G299" t="str">
            <v>OJG101</v>
          </cell>
          <cell r="H299" t="str">
            <v>ATEGO 1725</v>
          </cell>
          <cell r="I299" t="str">
            <v>Cambiar Líquido Refrigerante</v>
          </cell>
          <cell r="J299" t="str">
            <v xml:space="preserve"> - </v>
          </cell>
        </row>
        <row r="300">
          <cell r="A300">
            <v>37822</v>
          </cell>
          <cell r="B300" t="str">
            <v>Correctivo</v>
          </cell>
          <cell r="C300" t="str">
            <v>CIUD</v>
          </cell>
          <cell r="D300" t="str">
            <v>No</v>
          </cell>
          <cell r="E300" t="str">
            <v>23/07/2026</v>
          </cell>
          <cell r="F300" t="str">
            <v>O</v>
          </cell>
          <cell r="G300" t="str">
            <v>OJG101</v>
          </cell>
          <cell r="H300" t="str">
            <v>ATEGO 1725</v>
          </cell>
          <cell r="I300" t="str">
            <v>Cambiar tapon de block</v>
          </cell>
          <cell r="J300" t="str">
            <v xml:space="preserve"> - </v>
          </cell>
        </row>
        <row r="301">
          <cell r="A301">
            <v>37822</v>
          </cell>
          <cell r="B301" t="str">
            <v>Correctivo</v>
          </cell>
          <cell r="C301" t="str">
            <v>CIUD</v>
          </cell>
          <cell r="D301" t="str">
            <v>No</v>
          </cell>
          <cell r="E301" t="str">
            <v>23/07/2026</v>
          </cell>
          <cell r="F301" t="str">
            <v>O</v>
          </cell>
          <cell r="G301" t="str">
            <v>OJG101</v>
          </cell>
          <cell r="H301" t="str">
            <v>ATEGO 1725</v>
          </cell>
          <cell r="I301" t="str">
            <v>Colocar Manguera de Agua de Tapa de Compresor a Base Termostato</v>
          </cell>
          <cell r="J301" t="str">
            <v xml:space="preserve"> - </v>
          </cell>
        </row>
        <row r="302">
          <cell r="A302">
            <v>37824</v>
          </cell>
          <cell r="B302" t="str">
            <v>Auxilios</v>
          </cell>
          <cell r="C302" t="str">
            <v>CIUD</v>
          </cell>
          <cell r="D302" t="str">
            <v>No</v>
          </cell>
          <cell r="E302" t="str">
            <v>23/07/2026</v>
          </cell>
          <cell r="F302" t="str">
            <v>O</v>
          </cell>
          <cell r="G302" t="str">
            <v>KER727</v>
          </cell>
          <cell r="H302" t="str">
            <v>ATEGO 1418</v>
          </cell>
          <cell r="I302" t="str">
            <v>Cambiar Alternador</v>
          </cell>
          <cell r="J302" t="str">
            <v xml:space="preserve"> - </v>
          </cell>
        </row>
        <row r="303">
          <cell r="A303">
            <v>37824</v>
          </cell>
          <cell r="B303" t="str">
            <v>Auxilios</v>
          </cell>
          <cell r="C303" t="str">
            <v>CIUD</v>
          </cell>
          <cell r="D303" t="str">
            <v>No</v>
          </cell>
          <cell r="E303" t="str">
            <v>23/07/2026</v>
          </cell>
          <cell r="F303" t="str">
            <v>O</v>
          </cell>
          <cell r="G303" t="str">
            <v>KER727</v>
          </cell>
          <cell r="H303" t="str">
            <v>ATEGO 1418</v>
          </cell>
          <cell r="I303" t="str">
            <v>Cambiar Baterias</v>
          </cell>
          <cell r="J303" t="str">
            <v xml:space="preserve"> - </v>
          </cell>
        </row>
        <row r="304">
          <cell r="A304">
            <v>37827</v>
          </cell>
          <cell r="B304" t="str">
            <v>Correctivo</v>
          </cell>
          <cell r="C304" t="str">
            <v>CIUD</v>
          </cell>
          <cell r="D304" t="str">
            <v>No</v>
          </cell>
          <cell r="E304" t="str">
            <v>23/07/2026</v>
          </cell>
          <cell r="F304" t="str">
            <v>O</v>
          </cell>
          <cell r="G304" t="str">
            <v>GLT550</v>
          </cell>
          <cell r="H304" t="str">
            <v>1624</v>
          </cell>
          <cell r="I304" t="str">
            <v>Cambiar Líquido Refrigerante</v>
          </cell>
          <cell r="J304" t="str">
            <v xml:space="preserve"> - </v>
          </cell>
        </row>
        <row r="305">
          <cell r="A305">
            <v>37829</v>
          </cell>
          <cell r="B305" t="str">
            <v>Correctivo</v>
          </cell>
          <cell r="C305" t="str">
            <v>CIUD</v>
          </cell>
          <cell r="D305" t="str">
            <v>No</v>
          </cell>
          <cell r="E305" t="str">
            <v>23/07/2026</v>
          </cell>
          <cell r="F305" t="str">
            <v>O</v>
          </cell>
          <cell r="G305" t="str">
            <v>AF619YP</v>
          </cell>
          <cell r="H305" t="str">
            <v>PARTNER CONFORT 1.6 HDI 92 AM22 -FURGON-</v>
          </cell>
          <cell r="I305" t="str">
            <v>Cambiar Lampara de 12V 21/5W</v>
          </cell>
          <cell r="J305" t="str">
            <v xml:space="preserve"> - </v>
          </cell>
        </row>
        <row r="306">
          <cell r="A306">
            <v>37838</v>
          </cell>
          <cell r="B306" t="str">
            <v>Correctivo</v>
          </cell>
          <cell r="C306" t="str">
            <v>CIUD</v>
          </cell>
          <cell r="D306" t="str">
            <v>No</v>
          </cell>
          <cell r="E306" t="str">
            <v>23/07/2026</v>
          </cell>
          <cell r="F306" t="str">
            <v>O</v>
          </cell>
          <cell r="G306" t="str">
            <v>GFZ651</v>
          </cell>
          <cell r="H306" t="str">
            <v>1624</v>
          </cell>
          <cell r="I306" t="str">
            <v>Cambiar Faro De Giro Delantero Der</v>
          </cell>
          <cell r="J306" t="str">
            <v xml:space="preserve"> - </v>
          </cell>
        </row>
        <row r="307">
          <cell r="A307">
            <v>37838</v>
          </cell>
          <cell r="B307" t="str">
            <v>Correctivo</v>
          </cell>
          <cell r="C307" t="str">
            <v>CIUD</v>
          </cell>
          <cell r="D307" t="str">
            <v>No</v>
          </cell>
          <cell r="E307" t="str">
            <v>23/07/2026</v>
          </cell>
          <cell r="F307" t="str">
            <v>O</v>
          </cell>
          <cell r="G307" t="str">
            <v>GFZ651</v>
          </cell>
          <cell r="H307" t="str">
            <v>1624</v>
          </cell>
          <cell r="I307" t="str">
            <v>Cambiar Marco De Giro Der + Lijar y Pintar</v>
          </cell>
          <cell r="J307" t="str">
            <v xml:space="preserve"> - </v>
          </cell>
        </row>
        <row r="308">
          <cell r="A308">
            <v>37838</v>
          </cell>
          <cell r="B308" t="str">
            <v>Correctivo</v>
          </cell>
          <cell r="C308" t="str">
            <v>CIUD</v>
          </cell>
          <cell r="D308" t="str">
            <v>No</v>
          </cell>
          <cell r="E308" t="str">
            <v>23/07/2026</v>
          </cell>
          <cell r="F308" t="str">
            <v>O</v>
          </cell>
          <cell r="G308" t="str">
            <v>GFZ651</v>
          </cell>
          <cell r="H308" t="str">
            <v>1624</v>
          </cell>
          <cell r="I308" t="str">
            <v>Cambiar lamparas</v>
          </cell>
          <cell r="J308" t="str">
            <v xml:space="preserve"> - </v>
          </cell>
        </row>
        <row r="309">
          <cell r="A309">
            <v>37840</v>
          </cell>
          <cell r="B309" t="str">
            <v>Correctivo</v>
          </cell>
          <cell r="C309" t="str">
            <v>CIUD</v>
          </cell>
          <cell r="D309" t="str">
            <v>No</v>
          </cell>
          <cell r="E309" t="str">
            <v>23/07/2026</v>
          </cell>
          <cell r="F309" t="str">
            <v>O</v>
          </cell>
          <cell r="G309" t="str">
            <v>JXZ992</v>
          </cell>
          <cell r="H309" t="str">
            <v>ATEGO 1418</v>
          </cell>
          <cell r="I309" t="str">
            <v>Cambiar Cubiertas Tras. Motriz Der TDE-TDI Desarme y Arme Recapado</v>
          </cell>
          <cell r="J309" t="str">
            <v xml:space="preserve"> - </v>
          </cell>
        </row>
        <row r="310">
          <cell r="A310">
            <v>37840</v>
          </cell>
          <cell r="B310" t="str">
            <v>Correctivo</v>
          </cell>
          <cell r="C310" t="str">
            <v>CIUD</v>
          </cell>
          <cell r="D310" t="str">
            <v>No</v>
          </cell>
          <cell r="E310" t="str">
            <v>23/07/2026</v>
          </cell>
          <cell r="F310" t="str">
            <v>O</v>
          </cell>
          <cell r="G310" t="str">
            <v>JXZ992</v>
          </cell>
          <cell r="H310" t="str">
            <v>ATEGO 1418</v>
          </cell>
          <cell r="I310" t="str">
            <v>Cambio Rodamiento Puente Cardan</v>
          </cell>
          <cell r="J310" t="str">
            <v xml:space="preserve"> - </v>
          </cell>
        </row>
        <row r="311">
          <cell r="A311">
            <v>37840</v>
          </cell>
          <cell r="B311" t="str">
            <v>Correctivo</v>
          </cell>
          <cell r="C311" t="str">
            <v>CIUD</v>
          </cell>
          <cell r="D311" t="str">
            <v>No</v>
          </cell>
          <cell r="E311" t="str">
            <v>23/07/2026</v>
          </cell>
          <cell r="F311" t="str">
            <v>O</v>
          </cell>
          <cell r="G311" t="str">
            <v>JXZ992</v>
          </cell>
          <cell r="H311" t="str">
            <v>ATEGO 1418</v>
          </cell>
          <cell r="I311" t="str">
            <v>Colocar Embrague (Placa, Disco y Volante Reparado)</v>
          </cell>
          <cell r="J311" t="str">
            <v xml:space="preserve"> - </v>
          </cell>
        </row>
        <row r="312">
          <cell r="A312">
            <v>37840</v>
          </cell>
          <cell r="B312" t="str">
            <v>Correctivo</v>
          </cell>
          <cell r="C312" t="str">
            <v>CIUD</v>
          </cell>
          <cell r="D312" t="str">
            <v>No</v>
          </cell>
          <cell r="E312" t="str">
            <v>23/07/2026</v>
          </cell>
          <cell r="F312" t="str">
            <v>O</v>
          </cell>
          <cell r="G312" t="str">
            <v>JXZ992</v>
          </cell>
          <cell r="H312" t="str">
            <v>ATEGO 1418</v>
          </cell>
          <cell r="I312" t="str">
            <v>Cambio Soporte de Caja Lado Izq</v>
          </cell>
          <cell r="J312" t="str">
            <v xml:space="preserve"> - </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2"/>
  <sheetViews>
    <sheetView tabSelected="1" topLeftCell="A104" workbookViewId="0">
      <selection sqref="A1:P344"/>
    </sheetView>
  </sheetViews>
  <sheetFormatPr baseColWidth="10" defaultColWidth="8.88671875" defaultRowHeight="14.4" x14ac:dyDescent="0.3"/>
  <cols>
    <col min="1" max="1" width="13" customWidth="1"/>
    <col min="2" max="2" width="16" customWidth="1"/>
    <col min="3" max="3" width="20" customWidth="1"/>
    <col min="4" max="4" width="16" customWidth="1"/>
    <col min="5" max="5" width="20" customWidth="1"/>
    <col min="6" max="6" width="22" customWidth="1"/>
    <col min="7" max="7" width="20" customWidth="1"/>
    <col min="8" max="8" width="43" customWidth="1"/>
    <col min="9" max="9" width="80" customWidth="1"/>
    <col min="10" max="10" width="27.88671875" customWidth="1"/>
    <col min="11" max="11" width="15" customWidth="1"/>
    <col min="12" max="12" width="80" customWidth="1"/>
    <col min="13" max="13" width="80" style="20" customWidth="1"/>
    <col min="14" max="14" width="16.21875" style="14" customWidth="1"/>
    <col min="15" max="15" width="16.5546875" style="14" bestFit="1" customWidth="1"/>
    <col min="16" max="16" width="12.33203125" bestFit="1" customWidth="1"/>
  </cols>
  <sheetData>
    <row r="1" spans="1:16" x14ac:dyDescent="0.3">
      <c r="A1" s="1" t="s">
        <v>0</v>
      </c>
      <c r="B1" s="1" t="s">
        <v>1</v>
      </c>
      <c r="C1" s="1" t="s">
        <v>2</v>
      </c>
      <c r="D1" s="1" t="s">
        <v>3</v>
      </c>
      <c r="E1" s="1" t="s">
        <v>4</v>
      </c>
      <c r="F1" s="1" t="s">
        <v>5</v>
      </c>
      <c r="G1" s="1" t="s">
        <v>6</v>
      </c>
      <c r="H1" s="1" t="s">
        <v>7</v>
      </c>
      <c r="I1" s="1" t="s">
        <v>8</v>
      </c>
      <c r="J1" s="12" t="s">
        <v>665</v>
      </c>
      <c r="K1" s="1" t="s">
        <v>9</v>
      </c>
      <c r="L1" s="1" t="s">
        <v>10</v>
      </c>
      <c r="M1" s="17" t="s">
        <v>11</v>
      </c>
      <c r="N1" s="12" t="s">
        <v>661</v>
      </c>
      <c r="O1" s="12" t="s">
        <v>662</v>
      </c>
      <c r="P1" s="15" t="s">
        <v>663</v>
      </c>
    </row>
    <row r="2" spans="1:16" x14ac:dyDescent="0.3">
      <c r="A2" s="2">
        <v>35573</v>
      </c>
      <c r="B2" s="2" t="s">
        <v>12</v>
      </c>
      <c r="C2" s="3" t="s">
        <v>48</v>
      </c>
      <c r="D2" s="2" t="s">
        <v>14</v>
      </c>
      <c r="E2" s="11">
        <v>46176</v>
      </c>
      <c r="F2" s="2" t="s">
        <v>15</v>
      </c>
      <c r="G2" s="3" t="s">
        <v>137</v>
      </c>
      <c r="H2" s="3" t="s">
        <v>16</v>
      </c>
      <c r="I2" s="4" t="s">
        <v>444</v>
      </c>
      <c r="J2" s="4" t="s">
        <v>667</v>
      </c>
      <c r="K2" s="2" t="s">
        <v>17</v>
      </c>
      <c r="L2" s="3" t="s">
        <v>445</v>
      </c>
      <c r="M2" s="3" t="s">
        <v>446</v>
      </c>
      <c r="N2" s="13">
        <v>46234</v>
      </c>
      <c r="O2"/>
    </row>
    <row r="3" spans="1:16" x14ac:dyDescent="0.3">
      <c r="A3" s="5">
        <v>36119</v>
      </c>
      <c r="B3" s="5" t="s">
        <v>12</v>
      </c>
      <c r="C3" s="6" t="s">
        <v>19</v>
      </c>
      <c r="D3" s="5" t="s">
        <v>14</v>
      </c>
      <c r="E3" s="11">
        <v>46177</v>
      </c>
      <c r="F3" s="5" t="s">
        <v>15</v>
      </c>
      <c r="G3" s="6" t="s">
        <v>292</v>
      </c>
      <c r="H3" s="6" t="s">
        <v>147</v>
      </c>
      <c r="I3" s="7" t="s">
        <v>293</v>
      </c>
      <c r="J3" s="4" t="str">
        <f>VLOOKUP(A3,[1]Auditoría!$A$2:$J$312,10,FALSE)</f>
        <v>Falta Consumos</v>
      </c>
      <c r="K3" s="5" t="s">
        <v>17</v>
      </c>
      <c r="L3" s="6" t="s">
        <v>29</v>
      </c>
      <c r="M3" s="6" t="s">
        <v>294</v>
      </c>
      <c r="N3" s="13">
        <v>46234</v>
      </c>
      <c r="O3" s="13">
        <v>46231</v>
      </c>
    </row>
    <row r="4" spans="1:16" x14ac:dyDescent="0.3">
      <c r="A4" s="5">
        <v>35407</v>
      </c>
      <c r="B4" s="5" t="s">
        <v>12</v>
      </c>
      <c r="C4" s="6" t="s">
        <v>13</v>
      </c>
      <c r="D4" s="5" t="s">
        <v>14</v>
      </c>
      <c r="E4" s="11">
        <v>46180</v>
      </c>
      <c r="F4" s="5" t="s">
        <v>15</v>
      </c>
      <c r="G4" s="6" t="s">
        <v>130</v>
      </c>
      <c r="H4" s="6" t="s">
        <v>91</v>
      </c>
      <c r="I4" s="4" t="s">
        <v>128</v>
      </c>
      <c r="J4" s="4" t="str">
        <f>VLOOKUP(A4,[1]Auditoría!$A$2:$J$312,10,FALSE)</f>
        <v>Falta Material</v>
      </c>
      <c r="K4" s="5" t="s">
        <v>17</v>
      </c>
      <c r="L4" s="6" t="s">
        <v>225</v>
      </c>
      <c r="M4" s="6" t="s">
        <v>596</v>
      </c>
      <c r="N4" s="13">
        <v>46234</v>
      </c>
      <c r="O4" s="13">
        <v>46231</v>
      </c>
    </row>
    <row r="5" spans="1:16" x14ac:dyDescent="0.3">
      <c r="A5" s="5">
        <v>35828</v>
      </c>
      <c r="B5" s="5" t="s">
        <v>12</v>
      </c>
      <c r="C5" s="6" t="s">
        <v>19</v>
      </c>
      <c r="D5" s="5" t="s">
        <v>14</v>
      </c>
      <c r="E5" s="11">
        <v>46188</v>
      </c>
      <c r="F5" s="5" t="s">
        <v>15</v>
      </c>
      <c r="G5" s="6" t="s">
        <v>491</v>
      </c>
      <c r="H5" s="6" t="s">
        <v>492</v>
      </c>
      <c r="I5" s="4" t="s">
        <v>493</v>
      </c>
      <c r="J5" s="4" t="str">
        <f>VLOOKUP(A5,[1]Auditoría!$A$2:$J$312,10,FALSE)</f>
        <v>OK, Contabilizar</v>
      </c>
      <c r="K5" s="5" t="s">
        <v>17</v>
      </c>
      <c r="L5" s="6" t="s">
        <v>494</v>
      </c>
      <c r="M5" s="6" t="s">
        <v>495</v>
      </c>
      <c r="N5" s="13">
        <v>46234</v>
      </c>
      <c r="O5" s="13">
        <v>46231</v>
      </c>
      <c r="P5" t="s">
        <v>664</v>
      </c>
    </row>
    <row r="6" spans="1:16" x14ac:dyDescent="0.3">
      <c r="A6" s="5">
        <v>36086</v>
      </c>
      <c r="B6" s="5" t="s">
        <v>12</v>
      </c>
      <c r="C6" s="6" t="s">
        <v>48</v>
      </c>
      <c r="D6" s="5" t="s">
        <v>14</v>
      </c>
      <c r="E6" s="11">
        <v>46189</v>
      </c>
      <c r="F6" s="5" t="s">
        <v>15</v>
      </c>
      <c r="G6" s="6" t="s">
        <v>54</v>
      </c>
      <c r="H6" s="6" t="s">
        <v>45</v>
      </c>
      <c r="I6" s="7" t="s">
        <v>114</v>
      </c>
      <c r="J6" s="4" t="str">
        <f>VLOOKUP(A6,[1]Auditoría!$A$2:$J$312,10,FALSE)</f>
        <v>Falta Consumos</v>
      </c>
      <c r="K6" s="5" t="s">
        <v>17</v>
      </c>
      <c r="L6" s="6" t="s">
        <v>29</v>
      </c>
      <c r="M6" s="6" t="s">
        <v>115</v>
      </c>
      <c r="N6" s="13">
        <v>46234</v>
      </c>
      <c r="O6" s="13">
        <v>46231</v>
      </c>
    </row>
    <row r="7" spans="1:16" x14ac:dyDescent="0.3">
      <c r="A7" s="5">
        <v>36401</v>
      </c>
      <c r="B7" s="5" t="s">
        <v>12</v>
      </c>
      <c r="C7" s="6" t="s">
        <v>48</v>
      </c>
      <c r="D7" s="5" t="s">
        <v>14</v>
      </c>
      <c r="E7" s="11">
        <v>46189</v>
      </c>
      <c r="F7" s="5" t="s">
        <v>15</v>
      </c>
      <c r="G7" s="6" t="s">
        <v>105</v>
      </c>
      <c r="H7" s="6" t="s">
        <v>61</v>
      </c>
      <c r="I7" s="7" t="s">
        <v>389</v>
      </c>
      <c r="J7" s="4" t="str">
        <f>VLOOKUP(A7,[1]Auditoría!$A$2:$J$312,10,FALSE)</f>
        <v>Falta Salia Material</v>
      </c>
      <c r="K7" s="5" t="s">
        <v>17</v>
      </c>
      <c r="L7" s="6" t="s">
        <v>29</v>
      </c>
      <c r="M7" s="6" t="s">
        <v>549</v>
      </c>
      <c r="N7" s="13">
        <v>46234</v>
      </c>
      <c r="O7" s="13">
        <v>46231</v>
      </c>
    </row>
    <row r="8" spans="1:16" x14ac:dyDescent="0.3">
      <c r="A8" s="5">
        <v>36002</v>
      </c>
      <c r="B8" s="5" t="s">
        <v>12</v>
      </c>
      <c r="C8" s="6" t="s">
        <v>13</v>
      </c>
      <c r="D8" s="5" t="s">
        <v>14</v>
      </c>
      <c r="E8" s="11">
        <v>46191</v>
      </c>
      <c r="F8" s="5" t="s">
        <v>15</v>
      </c>
      <c r="G8" s="6" t="s">
        <v>392</v>
      </c>
      <c r="H8" s="6" t="s">
        <v>199</v>
      </c>
      <c r="I8" s="8" t="s">
        <v>649</v>
      </c>
      <c r="J8" s="4" t="str">
        <f>VLOOKUP(A8,[1]Auditoría!$A$2:$J$312,10,FALSE)</f>
        <v>Falta Material</v>
      </c>
      <c r="K8" s="5" t="s">
        <v>17</v>
      </c>
      <c r="L8" s="6" t="s">
        <v>50</v>
      </c>
      <c r="M8" s="6" t="s">
        <v>51</v>
      </c>
      <c r="N8" s="13">
        <v>46234</v>
      </c>
      <c r="O8" s="13">
        <v>46231</v>
      </c>
    </row>
    <row r="9" spans="1:16" x14ac:dyDescent="0.3">
      <c r="A9" s="2">
        <v>36436</v>
      </c>
      <c r="B9" s="2" t="s">
        <v>12</v>
      </c>
      <c r="C9" s="3" t="s">
        <v>48</v>
      </c>
      <c r="D9" s="2" t="s">
        <v>14</v>
      </c>
      <c r="E9" s="11">
        <v>46194</v>
      </c>
      <c r="F9" s="2" t="s">
        <v>15</v>
      </c>
      <c r="G9" s="3" t="s">
        <v>130</v>
      </c>
      <c r="H9" s="3" t="s">
        <v>91</v>
      </c>
      <c r="I9" s="7" t="s">
        <v>165</v>
      </c>
      <c r="J9" s="4" t="str">
        <f>VLOOKUP(A9,[1]Auditoría!$A$2:$J$312,10,FALSE)</f>
        <v>Falta Consumos</v>
      </c>
      <c r="K9" s="2" t="s">
        <v>17</v>
      </c>
      <c r="L9" s="3" t="s">
        <v>29</v>
      </c>
      <c r="M9" s="3" t="s">
        <v>166</v>
      </c>
      <c r="N9" s="13">
        <v>46234</v>
      </c>
      <c r="O9" s="13">
        <v>46231</v>
      </c>
    </row>
    <row r="10" spans="1:16" x14ac:dyDescent="0.3">
      <c r="A10" s="5">
        <v>36348</v>
      </c>
      <c r="B10" s="5" t="s">
        <v>12</v>
      </c>
      <c r="C10" s="6" t="s">
        <v>13</v>
      </c>
      <c r="D10" s="5" t="s">
        <v>14</v>
      </c>
      <c r="E10" s="11">
        <v>46197</v>
      </c>
      <c r="F10" s="5" t="s">
        <v>15</v>
      </c>
      <c r="G10" s="6" t="s">
        <v>279</v>
      </c>
      <c r="H10" s="6" t="s">
        <v>112</v>
      </c>
      <c r="I10" s="4" t="s">
        <v>280</v>
      </c>
      <c r="J10" s="4" t="str">
        <f>VLOOKUP(A10,[1]Auditoría!$A$2:$J$312,10,FALSE)</f>
        <v>OK, Contabilizar</v>
      </c>
      <c r="K10" s="5" t="s">
        <v>17</v>
      </c>
      <c r="L10" s="6" t="s">
        <v>281</v>
      </c>
      <c r="M10" s="6" t="s">
        <v>282</v>
      </c>
      <c r="N10" s="13">
        <v>46234</v>
      </c>
      <c r="O10" s="13">
        <v>46231</v>
      </c>
      <c r="P10" t="s">
        <v>664</v>
      </c>
    </row>
    <row r="11" spans="1:16" x14ac:dyDescent="0.3">
      <c r="A11" s="5">
        <v>36348</v>
      </c>
      <c r="B11" s="5" t="s">
        <v>12</v>
      </c>
      <c r="C11" s="6" t="s">
        <v>13</v>
      </c>
      <c r="D11" s="5" t="s">
        <v>14</v>
      </c>
      <c r="E11" s="11">
        <v>46197</v>
      </c>
      <c r="F11" s="5" t="s">
        <v>15</v>
      </c>
      <c r="G11" s="6" t="s">
        <v>279</v>
      </c>
      <c r="H11" s="6" t="s">
        <v>112</v>
      </c>
      <c r="I11" s="4" t="s">
        <v>399</v>
      </c>
      <c r="J11" s="4" t="str">
        <f>VLOOKUP(A11,[1]Auditoría!$A$2:$J$312,10,FALSE)</f>
        <v>OK, Contabilizar</v>
      </c>
      <c r="K11" s="5" t="s">
        <v>17</v>
      </c>
      <c r="L11" s="6" t="s">
        <v>281</v>
      </c>
      <c r="M11" s="6" t="s">
        <v>282</v>
      </c>
      <c r="N11" s="13">
        <v>46234</v>
      </c>
      <c r="O11" s="13">
        <v>46231</v>
      </c>
      <c r="P11" t="s">
        <v>664</v>
      </c>
    </row>
    <row r="12" spans="1:16" x14ac:dyDescent="0.3">
      <c r="A12" s="2">
        <v>36348</v>
      </c>
      <c r="B12" s="2" t="s">
        <v>12</v>
      </c>
      <c r="C12" s="3" t="s">
        <v>13</v>
      </c>
      <c r="D12" s="2" t="s">
        <v>14</v>
      </c>
      <c r="E12" s="11">
        <v>46197</v>
      </c>
      <c r="F12" s="2" t="s">
        <v>15</v>
      </c>
      <c r="G12" s="3" t="s">
        <v>279</v>
      </c>
      <c r="H12" s="3" t="s">
        <v>112</v>
      </c>
      <c r="I12" s="4" t="s">
        <v>547</v>
      </c>
      <c r="J12" s="4" t="str">
        <f>VLOOKUP(A12,[1]Auditoría!$A$2:$J$312,10,FALSE)</f>
        <v>OK, Contabilizar</v>
      </c>
      <c r="K12" s="2" t="s">
        <v>17</v>
      </c>
      <c r="L12" s="3" t="s">
        <v>548</v>
      </c>
      <c r="M12" s="3" t="s">
        <v>282</v>
      </c>
      <c r="N12" s="13">
        <v>46234</v>
      </c>
      <c r="O12" s="13">
        <v>46231</v>
      </c>
      <c r="P12" t="s">
        <v>664</v>
      </c>
    </row>
    <row r="13" spans="1:16" x14ac:dyDescent="0.3">
      <c r="A13" s="2">
        <v>36355</v>
      </c>
      <c r="B13" s="2" t="s">
        <v>12</v>
      </c>
      <c r="C13" s="3" t="s">
        <v>13</v>
      </c>
      <c r="D13" s="2" t="s">
        <v>14</v>
      </c>
      <c r="E13" s="11">
        <v>46198</v>
      </c>
      <c r="F13" s="2" t="s">
        <v>15</v>
      </c>
      <c r="G13" s="3" t="s">
        <v>201</v>
      </c>
      <c r="H13" s="3" t="s">
        <v>21</v>
      </c>
      <c r="I13" s="7" t="s">
        <v>283</v>
      </c>
      <c r="J13" s="4" t="str">
        <f>VLOOKUP(A13,[1]Auditoría!$A$2:$J$312,10,FALSE)</f>
        <v>Falta Consumo</v>
      </c>
      <c r="K13" s="2" t="s">
        <v>17</v>
      </c>
      <c r="L13" s="3" t="s">
        <v>29</v>
      </c>
      <c r="M13" s="3" t="s">
        <v>284</v>
      </c>
      <c r="N13" s="13">
        <v>46234</v>
      </c>
      <c r="O13" s="13">
        <v>46231</v>
      </c>
    </row>
    <row r="14" spans="1:16" x14ac:dyDescent="0.3">
      <c r="A14" s="2">
        <v>36373</v>
      </c>
      <c r="B14" s="2" t="s">
        <v>12</v>
      </c>
      <c r="C14" s="3" t="s">
        <v>48</v>
      </c>
      <c r="D14" s="2" t="s">
        <v>14</v>
      </c>
      <c r="E14" s="11">
        <v>46198</v>
      </c>
      <c r="F14" s="2" t="s">
        <v>15</v>
      </c>
      <c r="G14" s="3" t="s">
        <v>116</v>
      </c>
      <c r="H14" s="3" t="s">
        <v>16</v>
      </c>
      <c r="I14" s="4" t="s">
        <v>117</v>
      </c>
      <c r="J14" s="4" t="str">
        <f>VLOOKUP(A14,[1]Auditoría!$A$2:$J$312,10,FALSE)</f>
        <v>Falta Consumos</v>
      </c>
      <c r="K14" s="2" t="s">
        <v>17</v>
      </c>
      <c r="L14" s="3" t="s">
        <v>118</v>
      </c>
      <c r="M14" s="3" t="s">
        <v>119</v>
      </c>
      <c r="N14" s="13">
        <v>46234</v>
      </c>
      <c r="O14" s="13">
        <v>46231</v>
      </c>
    </row>
    <row r="15" spans="1:16" x14ac:dyDescent="0.3">
      <c r="A15" s="2">
        <v>36373</v>
      </c>
      <c r="B15" s="2" t="s">
        <v>12</v>
      </c>
      <c r="C15" s="3" t="s">
        <v>48</v>
      </c>
      <c r="D15" s="2" t="s">
        <v>14</v>
      </c>
      <c r="E15" s="11">
        <v>46198</v>
      </c>
      <c r="F15" s="2" t="s">
        <v>15</v>
      </c>
      <c r="G15" s="3" t="s">
        <v>116</v>
      </c>
      <c r="H15" s="3" t="s">
        <v>16</v>
      </c>
      <c r="I15" s="4" t="s">
        <v>92</v>
      </c>
      <c r="J15" s="4" t="str">
        <f>VLOOKUP(A15,[1]Auditoría!$A$2:$J$312,10,FALSE)</f>
        <v>Falta Consumos</v>
      </c>
      <c r="K15" s="2" t="s">
        <v>17</v>
      </c>
      <c r="L15" s="3" t="s">
        <v>55</v>
      </c>
      <c r="M15" s="3" t="s">
        <v>119</v>
      </c>
      <c r="N15" s="13">
        <v>46234</v>
      </c>
      <c r="O15" s="13">
        <v>46231</v>
      </c>
    </row>
    <row r="16" spans="1:16" x14ac:dyDescent="0.3">
      <c r="A16" s="2">
        <v>36604</v>
      </c>
      <c r="B16" s="2" t="s">
        <v>12</v>
      </c>
      <c r="C16" s="3" t="s">
        <v>48</v>
      </c>
      <c r="D16" s="2" t="s">
        <v>14</v>
      </c>
      <c r="E16" s="11">
        <v>46198</v>
      </c>
      <c r="F16" s="2" t="s">
        <v>15</v>
      </c>
      <c r="G16" s="3" t="s">
        <v>230</v>
      </c>
      <c r="H16" s="3" t="s">
        <v>61</v>
      </c>
      <c r="I16" s="7" t="s">
        <v>306</v>
      </c>
      <c r="J16" s="4" t="str">
        <f>VLOOKUP(A16,[1]Auditoría!$A$2:$J$312,10,FALSE)</f>
        <v>Falta Consumos</v>
      </c>
      <c r="K16" s="2" t="s">
        <v>17</v>
      </c>
      <c r="L16" s="3" t="s">
        <v>29</v>
      </c>
      <c r="M16" s="3" t="s">
        <v>307</v>
      </c>
      <c r="N16" s="13">
        <v>46234</v>
      </c>
      <c r="O16" s="13">
        <v>46231</v>
      </c>
    </row>
    <row r="17" spans="1:15" x14ac:dyDescent="0.3">
      <c r="A17" s="5">
        <v>36705</v>
      </c>
      <c r="B17" s="5" t="s">
        <v>12</v>
      </c>
      <c r="C17" s="6" t="s">
        <v>39</v>
      </c>
      <c r="D17" s="5" t="s">
        <v>14</v>
      </c>
      <c r="E17" s="11">
        <v>46198</v>
      </c>
      <c r="F17" s="5" t="s">
        <v>15</v>
      </c>
      <c r="G17" s="6" t="s">
        <v>191</v>
      </c>
      <c r="H17" s="6" t="s">
        <v>63</v>
      </c>
      <c r="I17" s="4" t="s">
        <v>316</v>
      </c>
      <c r="J17" s="4" t="str">
        <f>VLOOKUP(A17,[1]Auditoría!$A$2:$J$312,10,FALSE)</f>
        <v>Aclarar si es cambio, ver falta Junta tapa de Valvulas</v>
      </c>
      <c r="K17" s="5" t="s">
        <v>23</v>
      </c>
      <c r="L17" s="6" t="s">
        <v>317</v>
      </c>
      <c r="M17" s="6" t="s">
        <v>318</v>
      </c>
      <c r="N17" s="13">
        <v>46234</v>
      </c>
      <c r="O17" s="13">
        <v>46231</v>
      </c>
    </row>
    <row r="18" spans="1:15" x14ac:dyDescent="0.3">
      <c r="A18" s="2">
        <v>36814</v>
      </c>
      <c r="B18" s="2" t="s">
        <v>12</v>
      </c>
      <c r="C18" s="3" t="s">
        <v>48</v>
      </c>
      <c r="D18" s="2" t="s">
        <v>14</v>
      </c>
      <c r="E18" s="11">
        <v>46198</v>
      </c>
      <c r="F18" s="2" t="s">
        <v>15</v>
      </c>
      <c r="G18" s="3" t="s">
        <v>501</v>
      </c>
      <c r="H18" s="3" t="s">
        <v>74</v>
      </c>
      <c r="I18" s="7" t="s">
        <v>165</v>
      </c>
      <c r="J18" s="4" t="str">
        <f>VLOOKUP(A18,[1]Auditoría!$A$2:$J$312,10,FALSE)</f>
        <v>Falta Consumo</v>
      </c>
      <c r="K18" s="2" t="s">
        <v>17</v>
      </c>
      <c r="L18" s="3" t="s">
        <v>29</v>
      </c>
      <c r="M18" s="3" t="s">
        <v>166</v>
      </c>
      <c r="N18" s="13">
        <v>46234</v>
      </c>
      <c r="O18" s="13">
        <v>46231</v>
      </c>
    </row>
    <row r="19" spans="1:15" x14ac:dyDescent="0.3">
      <c r="A19" s="2">
        <v>36816</v>
      </c>
      <c r="B19" s="2" t="s">
        <v>12</v>
      </c>
      <c r="C19" s="3" t="s">
        <v>48</v>
      </c>
      <c r="D19" s="2" t="s">
        <v>14</v>
      </c>
      <c r="E19" s="11">
        <v>46198</v>
      </c>
      <c r="F19" s="2" t="s">
        <v>15</v>
      </c>
      <c r="G19" s="3" t="s">
        <v>90</v>
      </c>
      <c r="H19" s="3" t="s">
        <v>91</v>
      </c>
      <c r="I19" s="7" t="s">
        <v>92</v>
      </c>
      <c r="J19" s="4" t="str">
        <f>VLOOKUP(A19,[1]Auditoría!$A$2:$J$312,10,FALSE)</f>
        <v>Falta Consumo</v>
      </c>
      <c r="K19" s="2" t="s">
        <v>17</v>
      </c>
      <c r="L19" s="3" t="s">
        <v>29</v>
      </c>
      <c r="M19" s="3" t="s">
        <v>93</v>
      </c>
      <c r="N19" s="13">
        <v>46234</v>
      </c>
      <c r="O19" s="13">
        <v>46231</v>
      </c>
    </row>
    <row r="20" spans="1:15" x14ac:dyDescent="0.3">
      <c r="A20" s="5">
        <v>36817</v>
      </c>
      <c r="B20" s="5" t="s">
        <v>12</v>
      </c>
      <c r="C20" s="6" t="s">
        <v>48</v>
      </c>
      <c r="D20" s="5" t="s">
        <v>14</v>
      </c>
      <c r="E20" s="11">
        <v>46198</v>
      </c>
      <c r="F20" s="5" t="s">
        <v>15</v>
      </c>
      <c r="G20" s="6" t="s">
        <v>94</v>
      </c>
      <c r="H20" s="6" t="s">
        <v>61</v>
      </c>
      <c r="I20" s="8" t="s">
        <v>95</v>
      </c>
      <c r="J20" s="4" t="str">
        <f>VLOOKUP(A20,[1]Auditoría!$A$2:$J$312,10,FALSE)</f>
        <v>Falta Material</v>
      </c>
      <c r="K20" s="5" t="s">
        <v>17</v>
      </c>
      <c r="L20" s="6" t="s">
        <v>50</v>
      </c>
      <c r="M20" s="6" t="s">
        <v>51</v>
      </c>
      <c r="N20" s="13">
        <v>46234</v>
      </c>
      <c r="O20" s="13">
        <v>46231</v>
      </c>
    </row>
    <row r="21" spans="1:15" x14ac:dyDescent="0.3">
      <c r="A21" s="5">
        <v>36473</v>
      </c>
      <c r="B21" s="5" t="s">
        <v>12</v>
      </c>
      <c r="C21" s="6" t="s">
        <v>13</v>
      </c>
      <c r="D21" s="5" t="s">
        <v>14</v>
      </c>
      <c r="E21" s="11">
        <v>46199</v>
      </c>
      <c r="F21" s="5" t="s">
        <v>15</v>
      </c>
      <c r="G21" s="6" t="s">
        <v>433</v>
      </c>
      <c r="H21" s="6" t="s">
        <v>36</v>
      </c>
      <c r="I21" s="4" t="s">
        <v>52</v>
      </c>
      <c r="J21" s="4" t="str">
        <f>VLOOKUP(A21,[1]Auditoría!$A$2:$J$312,10,FALSE)</f>
        <v>Falta Material</v>
      </c>
      <c r="K21" s="5" t="s">
        <v>17</v>
      </c>
      <c r="L21" s="6" t="s">
        <v>53</v>
      </c>
      <c r="M21" s="6" t="s">
        <v>434</v>
      </c>
      <c r="N21" s="13">
        <v>46234</v>
      </c>
      <c r="O21" s="13">
        <v>46231</v>
      </c>
    </row>
    <row r="22" spans="1:15" x14ac:dyDescent="0.3">
      <c r="A22" s="2">
        <v>36609</v>
      </c>
      <c r="B22" s="2" t="s">
        <v>12</v>
      </c>
      <c r="C22" s="3" t="s">
        <v>48</v>
      </c>
      <c r="D22" s="2" t="s">
        <v>14</v>
      </c>
      <c r="E22" s="11">
        <v>46199</v>
      </c>
      <c r="F22" s="2" t="s">
        <v>15</v>
      </c>
      <c r="G22" s="3" t="s">
        <v>277</v>
      </c>
      <c r="H22" s="3" t="s">
        <v>41</v>
      </c>
      <c r="I22" s="7" t="s">
        <v>165</v>
      </c>
      <c r="J22" s="4" t="str">
        <f>VLOOKUP(A22,[1]Auditoría!$A$2:$J$312,10,FALSE)</f>
        <v>Falta Consumo</v>
      </c>
      <c r="K22" s="2" t="s">
        <v>17</v>
      </c>
      <c r="L22" s="3" t="s">
        <v>29</v>
      </c>
      <c r="M22" s="3" t="s">
        <v>417</v>
      </c>
      <c r="N22" s="13">
        <v>46234</v>
      </c>
      <c r="O22" s="13">
        <v>46231</v>
      </c>
    </row>
    <row r="23" spans="1:15" x14ac:dyDescent="0.3">
      <c r="A23" s="2">
        <v>36614</v>
      </c>
      <c r="B23" s="2" t="s">
        <v>12</v>
      </c>
      <c r="C23" s="3" t="s">
        <v>48</v>
      </c>
      <c r="D23" s="2" t="s">
        <v>14</v>
      </c>
      <c r="E23" s="11">
        <v>46199</v>
      </c>
      <c r="F23" s="2" t="s">
        <v>15</v>
      </c>
      <c r="G23" s="3" t="s">
        <v>143</v>
      </c>
      <c r="H23" s="3" t="s">
        <v>27</v>
      </c>
      <c r="I23" s="7" t="s">
        <v>144</v>
      </c>
      <c r="J23" s="4" t="str">
        <f>VLOOKUP(A23,[1]Auditoría!$A$2:$J$312,10,FALSE)</f>
        <v>Falta Consumo</v>
      </c>
      <c r="K23" s="2" t="s">
        <v>17</v>
      </c>
      <c r="L23" s="3" t="s">
        <v>29</v>
      </c>
      <c r="M23" s="3" t="s">
        <v>145</v>
      </c>
      <c r="N23" s="13">
        <v>46234</v>
      </c>
      <c r="O23" s="13">
        <v>46231</v>
      </c>
    </row>
    <row r="24" spans="1:15" x14ac:dyDescent="0.3">
      <c r="A24" s="5">
        <v>36614</v>
      </c>
      <c r="B24" s="5" t="s">
        <v>12</v>
      </c>
      <c r="C24" s="6" t="s">
        <v>48</v>
      </c>
      <c r="D24" s="5" t="s">
        <v>14</v>
      </c>
      <c r="E24" s="11">
        <v>46199</v>
      </c>
      <c r="F24" s="5" t="s">
        <v>15</v>
      </c>
      <c r="G24" s="6" t="s">
        <v>143</v>
      </c>
      <c r="H24" s="6" t="s">
        <v>27</v>
      </c>
      <c r="I24" s="7" t="s">
        <v>146</v>
      </c>
      <c r="J24" s="4" t="str">
        <f>VLOOKUP(A24,[1]Auditoría!$A$2:$J$312,10,FALSE)</f>
        <v>Falta Consumo</v>
      </c>
      <c r="K24" s="5" t="s">
        <v>17</v>
      </c>
      <c r="L24" s="6" t="s">
        <v>29</v>
      </c>
      <c r="M24" s="6" t="s">
        <v>145</v>
      </c>
      <c r="N24" s="13">
        <v>46234</v>
      </c>
      <c r="O24" s="13">
        <v>46231</v>
      </c>
    </row>
    <row r="25" spans="1:15" ht="115.2" x14ac:dyDescent="0.3">
      <c r="A25" s="21">
        <v>36492</v>
      </c>
      <c r="B25" s="21" t="s">
        <v>12</v>
      </c>
      <c r="C25" s="22" t="s">
        <v>13</v>
      </c>
      <c r="D25" s="21" t="s">
        <v>14</v>
      </c>
      <c r="E25" s="23">
        <v>46201</v>
      </c>
      <c r="F25" s="21" t="s">
        <v>15</v>
      </c>
      <c r="G25" s="22" t="s">
        <v>413</v>
      </c>
      <c r="H25" s="22" t="s">
        <v>41</v>
      </c>
      <c r="I25" s="4" t="s">
        <v>414</v>
      </c>
      <c r="J25" s="4" t="s">
        <v>667</v>
      </c>
      <c r="K25" s="5" t="s">
        <v>17</v>
      </c>
      <c r="L25" s="6" t="s">
        <v>122</v>
      </c>
      <c r="M25" s="18" t="s">
        <v>415</v>
      </c>
      <c r="N25" s="13">
        <v>46234</v>
      </c>
      <c r="O25"/>
    </row>
    <row r="26" spans="1:15" x14ac:dyDescent="0.3">
      <c r="A26" s="5">
        <v>36494</v>
      </c>
      <c r="B26" s="5" t="s">
        <v>12</v>
      </c>
      <c r="C26" s="6" t="s">
        <v>13</v>
      </c>
      <c r="D26" s="5" t="s">
        <v>14</v>
      </c>
      <c r="E26" s="11">
        <v>46201</v>
      </c>
      <c r="F26" s="5" t="s">
        <v>15</v>
      </c>
      <c r="G26" s="6" t="s">
        <v>268</v>
      </c>
      <c r="H26" s="6" t="s">
        <v>74</v>
      </c>
      <c r="I26" s="4" t="s">
        <v>597</v>
      </c>
      <c r="J26" s="4" t="str">
        <f>VLOOKUP(A26,[1]Auditoría!$A$2:$J$312,10,FALSE)</f>
        <v>Falta Consumo</v>
      </c>
      <c r="K26" s="5" t="s">
        <v>17</v>
      </c>
      <c r="L26" s="6" t="s">
        <v>598</v>
      </c>
      <c r="M26" s="6" t="s">
        <v>599</v>
      </c>
      <c r="N26" s="13">
        <v>46234</v>
      </c>
      <c r="O26" s="13">
        <v>46231</v>
      </c>
    </row>
    <row r="27" spans="1:15" x14ac:dyDescent="0.3">
      <c r="A27" s="2">
        <v>36498</v>
      </c>
      <c r="B27" s="2" t="s">
        <v>12</v>
      </c>
      <c r="C27" s="3" t="s">
        <v>13</v>
      </c>
      <c r="D27" s="2" t="s">
        <v>14</v>
      </c>
      <c r="E27" s="11">
        <v>46201</v>
      </c>
      <c r="F27" s="2" t="s">
        <v>15</v>
      </c>
      <c r="G27" s="3" t="s">
        <v>232</v>
      </c>
      <c r="H27" s="3" t="s">
        <v>61</v>
      </c>
      <c r="I27" s="4" t="s">
        <v>600</v>
      </c>
      <c r="J27" s="4" t="str">
        <f>VLOOKUP(A27,[1]Auditoría!$A$2:$J$312,10,FALSE)</f>
        <v>Falta Material</v>
      </c>
      <c r="K27" s="2" t="s">
        <v>17</v>
      </c>
      <c r="L27" s="3" t="s">
        <v>601</v>
      </c>
      <c r="M27" s="3" t="s">
        <v>602</v>
      </c>
      <c r="N27" s="13">
        <v>46234</v>
      </c>
      <c r="O27" s="13">
        <v>46231</v>
      </c>
    </row>
    <row r="28" spans="1:15" x14ac:dyDescent="0.3">
      <c r="A28" s="5">
        <v>36848</v>
      </c>
      <c r="B28" s="5" t="s">
        <v>12</v>
      </c>
      <c r="C28" s="6" t="s">
        <v>48</v>
      </c>
      <c r="D28" s="5" t="s">
        <v>14</v>
      </c>
      <c r="E28" s="11">
        <v>46201</v>
      </c>
      <c r="F28" s="5" t="s">
        <v>15</v>
      </c>
      <c r="G28" s="6" t="s">
        <v>87</v>
      </c>
      <c r="H28" s="6" t="s">
        <v>21</v>
      </c>
      <c r="I28" s="8" t="s">
        <v>198</v>
      </c>
      <c r="J28" s="4" t="str">
        <f>VLOOKUP(A28,[1]Auditoría!$A$2:$J$312,10,FALSE)</f>
        <v>Falta Material</v>
      </c>
      <c r="K28" s="5" t="s">
        <v>17</v>
      </c>
      <c r="L28" s="6" t="s">
        <v>50</v>
      </c>
      <c r="M28" s="6" t="s">
        <v>51</v>
      </c>
      <c r="N28" s="13">
        <v>46234</v>
      </c>
      <c r="O28" s="13">
        <v>46231</v>
      </c>
    </row>
    <row r="29" spans="1:15" x14ac:dyDescent="0.3">
      <c r="A29" s="5">
        <v>36503</v>
      </c>
      <c r="B29" s="5" t="s">
        <v>12</v>
      </c>
      <c r="C29" s="6" t="s">
        <v>13</v>
      </c>
      <c r="D29" s="5" t="s">
        <v>14</v>
      </c>
      <c r="E29" s="11">
        <v>46202</v>
      </c>
      <c r="F29" s="5" t="s">
        <v>15</v>
      </c>
      <c r="G29" s="6" t="s">
        <v>603</v>
      </c>
      <c r="H29" s="6" t="s">
        <v>41</v>
      </c>
      <c r="I29" s="4" t="s">
        <v>604</v>
      </c>
      <c r="J29" s="4" t="str">
        <f>VLOOKUP(A29,[1]Auditoría!$A$2:$J$312,10,FALSE)</f>
        <v>Falta Material</v>
      </c>
      <c r="K29" s="5" t="s">
        <v>17</v>
      </c>
      <c r="L29" s="6" t="s">
        <v>82</v>
      </c>
      <c r="M29" s="6" t="s">
        <v>605</v>
      </c>
      <c r="N29" s="13">
        <v>46234</v>
      </c>
      <c r="O29" s="13">
        <v>46231</v>
      </c>
    </row>
    <row r="30" spans="1:15" x14ac:dyDescent="0.3">
      <c r="A30" s="2">
        <v>36629</v>
      </c>
      <c r="B30" s="2" t="s">
        <v>12</v>
      </c>
      <c r="C30" s="3" t="s">
        <v>13</v>
      </c>
      <c r="D30" s="2" t="s">
        <v>14</v>
      </c>
      <c r="E30" s="11">
        <v>46202</v>
      </c>
      <c r="F30" s="2" t="s">
        <v>15</v>
      </c>
      <c r="G30" s="3" t="s">
        <v>242</v>
      </c>
      <c r="H30" s="3" t="s">
        <v>239</v>
      </c>
      <c r="I30" s="4" t="s">
        <v>326</v>
      </c>
      <c r="J30" s="4" t="str">
        <f>VLOOKUP(A30,[1]Auditoría!$A$2:$J$312,10,FALSE)</f>
        <v>Falta Material</v>
      </c>
      <c r="K30" s="2" t="s">
        <v>17</v>
      </c>
      <c r="L30" s="3" t="s">
        <v>327</v>
      </c>
      <c r="M30" s="3" t="s">
        <v>328</v>
      </c>
      <c r="N30" s="13">
        <v>46234</v>
      </c>
      <c r="O30" s="13">
        <v>46231</v>
      </c>
    </row>
    <row r="31" spans="1:15" x14ac:dyDescent="0.3">
      <c r="A31" s="5">
        <v>36629</v>
      </c>
      <c r="B31" s="5" t="s">
        <v>12</v>
      </c>
      <c r="C31" s="6" t="s">
        <v>13</v>
      </c>
      <c r="D31" s="5" t="s">
        <v>14</v>
      </c>
      <c r="E31" s="11">
        <v>46202</v>
      </c>
      <c r="F31" s="5" t="s">
        <v>15</v>
      </c>
      <c r="G31" s="6" t="s">
        <v>242</v>
      </c>
      <c r="H31" s="6" t="s">
        <v>239</v>
      </c>
      <c r="I31" s="4" t="s">
        <v>124</v>
      </c>
      <c r="J31" s="4" t="str">
        <f>VLOOKUP(A31,[1]Auditoría!$A$2:$J$312,10,FALSE)</f>
        <v>Falta Material</v>
      </c>
      <c r="K31" s="5" t="s">
        <v>17</v>
      </c>
      <c r="L31" s="6" t="s">
        <v>125</v>
      </c>
      <c r="M31" s="6" t="s">
        <v>328</v>
      </c>
      <c r="N31" s="13">
        <v>46234</v>
      </c>
      <c r="O31" s="13">
        <v>46231</v>
      </c>
    </row>
    <row r="32" spans="1:15" x14ac:dyDescent="0.3">
      <c r="A32" s="2">
        <v>36629</v>
      </c>
      <c r="B32" s="2" t="s">
        <v>12</v>
      </c>
      <c r="C32" s="3" t="s">
        <v>13</v>
      </c>
      <c r="D32" s="2" t="s">
        <v>14</v>
      </c>
      <c r="E32" s="11">
        <v>46202</v>
      </c>
      <c r="F32" s="2" t="s">
        <v>15</v>
      </c>
      <c r="G32" s="3" t="s">
        <v>242</v>
      </c>
      <c r="H32" s="3" t="s">
        <v>239</v>
      </c>
      <c r="I32" s="4" t="s">
        <v>545</v>
      </c>
      <c r="J32" s="4" t="str">
        <f>VLOOKUP(A32,[1]Auditoría!$A$2:$J$312,10,FALSE)</f>
        <v>Falta Material</v>
      </c>
      <c r="K32" s="2" t="s">
        <v>17</v>
      </c>
      <c r="L32" s="3" t="s">
        <v>396</v>
      </c>
      <c r="M32" s="3" t="s">
        <v>328</v>
      </c>
      <c r="N32" s="13">
        <v>46234</v>
      </c>
      <c r="O32" s="13">
        <v>46231</v>
      </c>
    </row>
    <row r="33" spans="1:16" x14ac:dyDescent="0.3">
      <c r="A33" s="2">
        <v>36629</v>
      </c>
      <c r="B33" s="2" t="s">
        <v>12</v>
      </c>
      <c r="C33" s="3" t="s">
        <v>13</v>
      </c>
      <c r="D33" s="2" t="s">
        <v>14</v>
      </c>
      <c r="E33" s="11">
        <v>46202</v>
      </c>
      <c r="F33" s="2" t="s">
        <v>15</v>
      </c>
      <c r="G33" s="3" t="s">
        <v>242</v>
      </c>
      <c r="H33" s="3" t="s">
        <v>239</v>
      </c>
      <c r="I33" s="4" t="s">
        <v>656</v>
      </c>
      <c r="J33" s="4" t="str">
        <f>VLOOKUP(A33,[1]Auditoría!$A$2:$J$312,10,FALSE)</f>
        <v>Falta Material</v>
      </c>
      <c r="K33" s="2" t="s">
        <v>17</v>
      </c>
      <c r="L33" s="3" t="s">
        <v>657</v>
      </c>
      <c r="M33" s="3" t="s">
        <v>328</v>
      </c>
      <c r="N33" s="13">
        <v>46234</v>
      </c>
      <c r="O33" s="13">
        <v>46231</v>
      </c>
    </row>
    <row r="34" spans="1:16" x14ac:dyDescent="0.3">
      <c r="A34" s="5">
        <v>36820</v>
      </c>
      <c r="B34" s="5" t="s">
        <v>12</v>
      </c>
      <c r="C34" s="6" t="s">
        <v>48</v>
      </c>
      <c r="D34" s="5" t="s">
        <v>14</v>
      </c>
      <c r="E34" s="11">
        <v>46202</v>
      </c>
      <c r="F34" s="5" t="s">
        <v>15</v>
      </c>
      <c r="G34" s="6" t="s">
        <v>134</v>
      </c>
      <c r="H34" s="6" t="s">
        <v>61</v>
      </c>
      <c r="I34" s="4" t="s">
        <v>168</v>
      </c>
      <c r="J34" s="4" t="str">
        <f>VLOOKUP(A34,[1]Auditoría!$A$2:$J$312,10,FALSE)</f>
        <v>OK Contabilizar</v>
      </c>
      <c r="K34" s="5" t="s">
        <v>17</v>
      </c>
      <c r="L34" s="6" t="s">
        <v>169</v>
      </c>
      <c r="M34" s="6" t="s">
        <v>482</v>
      </c>
      <c r="N34" s="13">
        <v>46234</v>
      </c>
      <c r="O34" s="13">
        <v>46231</v>
      </c>
      <c r="P34" t="s">
        <v>664</v>
      </c>
    </row>
    <row r="35" spans="1:16" x14ac:dyDescent="0.3">
      <c r="A35" s="5">
        <v>36821</v>
      </c>
      <c r="B35" s="5" t="s">
        <v>12</v>
      </c>
      <c r="C35" s="6" t="s">
        <v>48</v>
      </c>
      <c r="D35" s="5" t="s">
        <v>14</v>
      </c>
      <c r="E35" s="11">
        <v>46202</v>
      </c>
      <c r="F35" s="5" t="s">
        <v>15</v>
      </c>
      <c r="G35" s="6" t="s">
        <v>643</v>
      </c>
      <c r="H35" s="6" t="s">
        <v>27</v>
      </c>
      <c r="I35" s="7" t="s">
        <v>165</v>
      </c>
      <c r="J35" s="4" t="str">
        <f>VLOOKUP(A35,[1]Auditoría!$A$2:$J$312,10,FALSE)</f>
        <v>Falta Consumo</v>
      </c>
      <c r="K35" s="5" t="s">
        <v>17</v>
      </c>
      <c r="L35" s="6" t="s">
        <v>29</v>
      </c>
      <c r="M35" s="6" t="s">
        <v>586</v>
      </c>
      <c r="N35" s="13">
        <v>46234</v>
      </c>
      <c r="O35" s="13">
        <v>46231</v>
      </c>
    </row>
    <row r="36" spans="1:16" x14ac:dyDescent="0.3">
      <c r="A36" s="5">
        <v>36844</v>
      </c>
      <c r="B36" s="5" t="s">
        <v>12</v>
      </c>
      <c r="C36" s="6" t="s">
        <v>48</v>
      </c>
      <c r="D36" s="5" t="s">
        <v>14</v>
      </c>
      <c r="E36" s="11">
        <v>46202</v>
      </c>
      <c r="F36" s="5" t="s">
        <v>15</v>
      </c>
      <c r="G36" s="6" t="s">
        <v>60</v>
      </c>
      <c r="H36" s="6" t="s">
        <v>61</v>
      </c>
      <c r="I36" s="7" t="s">
        <v>138</v>
      </c>
      <c r="J36" s="4" t="str">
        <f>VLOOKUP(A36,[1]Auditoría!$A$2:$J$312,10,FALSE)</f>
        <v>Falta Consumo</v>
      </c>
      <c r="K36" s="5" t="s">
        <v>17</v>
      </c>
      <c r="L36" s="6" t="s">
        <v>29</v>
      </c>
      <c r="M36" s="6" t="s">
        <v>265</v>
      </c>
      <c r="N36" s="13">
        <v>46234</v>
      </c>
      <c r="O36" s="13">
        <v>46231</v>
      </c>
    </row>
    <row r="37" spans="1:16" x14ac:dyDescent="0.3">
      <c r="A37" s="5">
        <v>36845</v>
      </c>
      <c r="B37" s="5" t="s">
        <v>12</v>
      </c>
      <c r="C37" s="6" t="s">
        <v>48</v>
      </c>
      <c r="D37" s="5" t="s">
        <v>14</v>
      </c>
      <c r="E37" s="11">
        <v>46202</v>
      </c>
      <c r="F37" s="5" t="s">
        <v>15</v>
      </c>
      <c r="G37" s="6" t="s">
        <v>26</v>
      </c>
      <c r="H37" s="6" t="s">
        <v>27</v>
      </c>
      <c r="I37" s="7" t="s">
        <v>28</v>
      </c>
      <c r="J37" s="4" t="str">
        <f>VLOOKUP(A37,[1]Auditoría!$A$2:$J$312,10,FALSE)</f>
        <v>Falta Consumo</v>
      </c>
      <c r="K37" s="5" t="s">
        <v>17</v>
      </c>
      <c r="L37" s="6" t="s">
        <v>29</v>
      </c>
      <c r="M37" s="6" t="s">
        <v>586</v>
      </c>
      <c r="N37" s="13">
        <v>46234</v>
      </c>
      <c r="O37" s="13">
        <v>46231</v>
      </c>
    </row>
    <row r="38" spans="1:16" x14ac:dyDescent="0.3">
      <c r="A38" s="2">
        <v>36845</v>
      </c>
      <c r="B38" s="2" t="s">
        <v>12</v>
      </c>
      <c r="C38" s="3" t="s">
        <v>48</v>
      </c>
      <c r="D38" s="2" t="s">
        <v>14</v>
      </c>
      <c r="E38" s="11">
        <v>46202</v>
      </c>
      <c r="F38" s="2" t="s">
        <v>15</v>
      </c>
      <c r="G38" s="3" t="s">
        <v>26</v>
      </c>
      <c r="H38" s="3" t="s">
        <v>27</v>
      </c>
      <c r="I38" s="7" t="s">
        <v>587</v>
      </c>
      <c r="J38" s="4" t="str">
        <f>VLOOKUP(A38,[1]Auditoría!$A$2:$J$312,10,FALSE)</f>
        <v>Falta Consumo</v>
      </c>
      <c r="K38" s="2" t="s">
        <v>17</v>
      </c>
      <c r="L38" s="3" t="s">
        <v>29</v>
      </c>
      <c r="M38" s="3" t="s">
        <v>586</v>
      </c>
      <c r="N38" s="13">
        <v>46234</v>
      </c>
      <c r="O38" s="13">
        <v>46231</v>
      </c>
    </row>
    <row r="39" spans="1:16" x14ac:dyDescent="0.3">
      <c r="A39" s="2">
        <v>36846</v>
      </c>
      <c r="B39" s="2" t="s">
        <v>12</v>
      </c>
      <c r="C39" s="3" t="s">
        <v>48</v>
      </c>
      <c r="D39" s="2" t="s">
        <v>14</v>
      </c>
      <c r="E39" s="11">
        <v>46202</v>
      </c>
      <c r="F39" s="2" t="s">
        <v>15</v>
      </c>
      <c r="G39" s="3" t="s">
        <v>447</v>
      </c>
      <c r="H39" s="3" t="s">
        <v>448</v>
      </c>
      <c r="I39" s="7" t="s">
        <v>28</v>
      </c>
      <c r="J39" s="4" t="str">
        <f>VLOOKUP(A39,[1]Auditoría!$A$2:$J$312,10,FALSE)</f>
        <v>Falta Consumo</v>
      </c>
      <c r="K39" s="2" t="s">
        <v>17</v>
      </c>
      <c r="L39" s="3" t="s">
        <v>29</v>
      </c>
      <c r="M39" s="3" t="s">
        <v>586</v>
      </c>
      <c r="N39" s="13">
        <v>46234</v>
      </c>
      <c r="O39" s="13">
        <v>46231</v>
      </c>
    </row>
    <row r="40" spans="1:16" x14ac:dyDescent="0.3">
      <c r="A40" s="5">
        <v>36867</v>
      </c>
      <c r="B40" s="5" t="s">
        <v>12</v>
      </c>
      <c r="C40" s="6" t="s">
        <v>48</v>
      </c>
      <c r="D40" s="5" t="s">
        <v>14</v>
      </c>
      <c r="E40" s="11">
        <v>46202</v>
      </c>
      <c r="F40" s="5" t="s">
        <v>15</v>
      </c>
      <c r="G40" s="6" t="s">
        <v>550</v>
      </c>
      <c r="H40" s="6" t="s">
        <v>32</v>
      </c>
      <c r="I40" s="7" t="s">
        <v>182</v>
      </c>
      <c r="J40" s="4" t="str">
        <f>VLOOKUP(A40,[1]Auditoría!$A$2:$J$312,10,FALSE)</f>
        <v>Falta Consumo</v>
      </c>
      <c r="K40" s="5" t="s">
        <v>17</v>
      </c>
      <c r="L40" s="6" t="s">
        <v>29</v>
      </c>
      <c r="M40" s="6" t="s">
        <v>166</v>
      </c>
      <c r="N40" s="13">
        <v>46234</v>
      </c>
      <c r="O40" s="13">
        <v>46231</v>
      </c>
    </row>
    <row r="41" spans="1:16" x14ac:dyDescent="0.3">
      <c r="A41" s="2">
        <v>36869</v>
      </c>
      <c r="B41" s="2" t="s">
        <v>12</v>
      </c>
      <c r="C41" s="3" t="s">
        <v>48</v>
      </c>
      <c r="D41" s="2" t="s">
        <v>14</v>
      </c>
      <c r="E41" s="11">
        <v>46202</v>
      </c>
      <c r="F41" s="2" t="s">
        <v>15</v>
      </c>
      <c r="G41" s="3" t="s">
        <v>96</v>
      </c>
      <c r="H41" s="3" t="s">
        <v>61</v>
      </c>
      <c r="I41" s="7" t="s">
        <v>97</v>
      </c>
      <c r="J41" s="4" t="str">
        <f>VLOOKUP(A41,[1]Auditoría!$A$2:$J$312,10,FALSE)</f>
        <v>Falta Consumo</v>
      </c>
      <c r="K41" s="2" t="s">
        <v>17</v>
      </c>
      <c r="L41" s="3" t="s">
        <v>29</v>
      </c>
      <c r="M41" s="3" t="s">
        <v>98</v>
      </c>
      <c r="N41" s="13">
        <v>46234</v>
      </c>
      <c r="O41" s="13">
        <v>46231</v>
      </c>
    </row>
    <row r="42" spans="1:16" x14ac:dyDescent="0.3">
      <c r="A42" s="2">
        <v>36633</v>
      </c>
      <c r="B42" s="2" t="s">
        <v>12</v>
      </c>
      <c r="C42" s="3" t="s">
        <v>13</v>
      </c>
      <c r="D42" s="2" t="s">
        <v>14</v>
      </c>
      <c r="E42" s="11">
        <v>46203</v>
      </c>
      <c r="F42" s="2" t="s">
        <v>15</v>
      </c>
      <c r="G42" s="3" t="s">
        <v>200</v>
      </c>
      <c r="H42" s="3" t="s">
        <v>36</v>
      </c>
      <c r="I42" s="4" t="s">
        <v>560</v>
      </c>
      <c r="J42" s="4" t="str">
        <f>VLOOKUP(A42,[1]Auditoría!$A$2:$J$312,10,FALSE)</f>
        <v>Falta Consumo</v>
      </c>
      <c r="K42" s="2" t="s">
        <v>17</v>
      </c>
      <c r="L42" s="3" t="s">
        <v>561</v>
      </c>
      <c r="M42" s="3" t="s">
        <v>562</v>
      </c>
      <c r="N42" s="13">
        <v>46234</v>
      </c>
      <c r="O42" s="13">
        <v>46231</v>
      </c>
    </row>
    <row r="43" spans="1:16" x14ac:dyDescent="0.3">
      <c r="A43" s="5">
        <v>36633</v>
      </c>
      <c r="B43" s="5" t="s">
        <v>12</v>
      </c>
      <c r="C43" s="6" t="s">
        <v>13</v>
      </c>
      <c r="D43" s="5" t="s">
        <v>14</v>
      </c>
      <c r="E43" s="11">
        <v>46203</v>
      </c>
      <c r="F43" s="5" t="s">
        <v>15</v>
      </c>
      <c r="G43" s="6" t="s">
        <v>200</v>
      </c>
      <c r="H43" s="6" t="s">
        <v>36</v>
      </c>
      <c r="I43" s="4" t="s">
        <v>658</v>
      </c>
      <c r="J43" s="4" t="str">
        <f>VLOOKUP(A43,[1]Auditoría!$A$2:$J$312,10,FALSE)</f>
        <v>Falta Consumo</v>
      </c>
      <c r="K43" s="5" t="s">
        <v>17</v>
      </c>
      <c r="L43" s="6" t="s">
        <v>561</v>
      </c>
      <c r="M43" s="6" t="s">
        <v>562</v>
      </c>
      <c r="N43" s="13">
        <v>46234</v>
      </c>
      <c r="O43" s="13">
        <v>46231</v>
      </c>
    </row>
    <row r="44" spans="1:16" x14ac:dyDescent="0.3">
      <c r="A44" s="2">
        <v>36633</v>
      </c>
      <c r="B44" s="2" t="s">
        <v>12</v>
      </c>
      <c r="C44" s="3" t="s">
        <v>13</v>
      </c>
      <c r="D44" s="2" t="s">
        <v>14</v>
      </c>
      <c r="E44" s="11">
        <v>46203</v>
      </c>
      <c r="F44" s="2" t="s">
        <v>15</v>
      </c>
      <c r="G44" s="3" t="s">
        <v>200</v>
      </c>
      <c r="H44" s="3" t="s">
        <v>36</v>
      </c>
      <c r="I44" s="4" t="s">
        <v>659</v>
      </c>
      <c r="J44" s="4" t="str">
        <f>VLOOKUP(A44,[1]Auditoría!$A$2:$J$312,10,FALSE)</f>
        <v>Falta Consumo</v>
      </c>
      <c r="K44" s="2" t="s">
        <v>17</v>
      </c>
      <c r="L44" s="3" t="s">
        <v>561</v>
      </c>
      <c r="M44" s="3" t="s">
        <v>562</v>
      </c>
      <c r="N44" s="13">
        <v>46234</v>
      </c>
      <c r="O44" s="13">
        <v>46231</v>
      </c>
    </row>
    <row r="45" spans="1:16" x14ac:dyDescent="0.3">
      <c r="A45" s="5">
        <v>36633</v>
      </c>
      <c r="B45" s="5" t="s">
        <v>12</v>
      </c>
      <c r="C45" s="6" t="s">
        <v>13</v>
      </c>
      <c r="D45" s="5" t="s">
        <v>14</v>
      </c>
      <c r="E45" s="11">
        <v>46203</v>
      </c>
      <c r="F45" s="5" t="s">
        <v>15</v>
      </c>
      <c r="G45" s="6" t="s">
        <v>200</v>
      </c>
      <c r="H45" s="6" t="s">
        <v>36</v>
      </c>
      <c r="I45" s="4" t="s">
        <v>660</v>
      </c>
      <c r="J45" s="4" t="str">
        <f>VLOOKUP(A45,[1]Auditoría!$A$2:$J$312,10,FALSE)</f>
        <v>Falta Consumo</v>
      </c>
      <c r="K45" s="5" t="s">
        <v>17</v>
      </c>
      <c r="L45" s="6" t="s">
        <v>561</v>
      </c>
      <c r="M45" s="6" t="s">
        <v>562</v>
      </c>
      <c r="N45" s="13">
        <v>46234</v>
      </c>
      <c r="O45" s="13">
        <v>46231</v>
      </c>
    </row>
    <row r="46" spans="1:16" x14ac:dyDescent="0.3">
      <c r="A46" s="5">
        <v>36635</v>
      </c>
      <c r="B46" s="5" t="s">
        <v>12</v>
      </c>
      <c r="C46" s="6" t="s">
        <v>13</v>
      </c>
      <c r="D46" s="5" t="s">
        <v>14</v>
      </c>
      <c r="E46" s="11">
        <v>46203</v>
      </c>
      <c r="F46" s="5" t="s">
        <v>15</v>
      </c>
      <c r="G46" s="6" t="s">
        <v>329</v>
      </c>
      <c r="H46" s="6" t="s">
        <v>199</v>
      </c>
      <c r="I46" s="4" t="s">
        <v>330</v>
      </c>
      <c r="J46" s="4" t="str">
        <f>VLOOKUP(A46,[1]Auditoría!$A$2:$J$312,10,FALSE)</f>
        <v>Falta Consumos</v>
      </c>
      <c r="K46" s="5" t="s">
        <v>17</v>
      </c>
      <c r="L46" s="6" t="s">
        <v>109</v>
      </c>
      <c r="M46" s="6" t="s">
        <v>331</v>
      </c>
      <c r="N46" s="13">
        <v>46234</v>
      </c>
      <c r="O46" s="13">
        <v>46231</v>
      </c>
    </row>
    <row r="47" spans="1:16" x14ac:dyDescent="0.3">
      <c r="A47" s="5">
        <v>36635</v>
      </c>
      <c r="B47" s="5" t="s">
        <v>12</v>
      </c>
      <c r="C47" s="6" t="s">
        <v>13</v>
      </c>
      <c r="D47" s="5" t="s">
        <v>14</v>
      </c>
      <c r="E47" s="11">
        <v>46203</v>
      </c>
      <c r="F47" s="5" t="s">
        <v>15</v>
      </c>
      <c r="G47" s="6" t="s">
        <v>329</v>
      </c>
      <c r="H47" s="6" t="s">
        <v>199</v>
      </c>
      <c r="I47" s="4" t="s">
        <v>393</v>
      </c>
      <c r="J47" s="4" t="str">
        <f>VLOOKUP(A47,[1]Auditoría!$A$2:$J$312,10,FALSE)</f>
        <v>Falta Consumos</v>
      </c>
      <c r="K47" s="5" t="s">
        <v>17</v>
      </c>
      <c r="L47" s="6" t="s">
        <v>109</v>
      </c>
      <c r="M47" s="6" t="s">
        <v>331</v>
      </c>
      <c r="N47" s="13">
        <v>46234</v>
      </c>
      <c r="O47" s="13">
        <v>46231</v>
      </c>
    </row>
    <row r="48" spans="1:16" x14ac:dyDescent="0.3">
      <c r="A48" s="5">
        <v>36635</v>
      </c>
      <c r="B48" s="5" t="s">
        <v>12</v>
      </c>
      <c r="C48" s="6" t="s">
        <v>13</v>
      </c>
      <c r="D48" s="5" t="s">
        <v>14</v>
      </c>
      <c r="E48" s="11">
        <v>46203</v>
      </c>
      <c r="F48" s="5" t="s">
        <v>15</v>
      </c>
      <c r="G48" s="6" t="s">
        <v>329</v>
      </c>
      <c r="H48" s="6" t="s">
        <v>199</v>
      </c>
      <c r="I48" s="4" t="s">
        <v>553</v>
      </c>
      <c r="J48" s="4" t="str">
        <f>VLOOKUP(A48,[1]Auditoría!$A$2:$J$312,10,FALSE)</f>
        <v>Falta Consumos</v>
      </c>
      <c r="K48" s="5" t="s">
        <v>17</v>
      </c>
      <c r="L48" s="6" t="s">
        <v>109</v>
      </c>
      <c r="M48" s="6" t="s">
        <v>331</v>
      </c>
      <c r="N48" s="13">
        <v>46234</v>
      </c>
      <c r="O48" s="13">
        <v>46231</v>
      </c>
    </row>
    <row r="49" spans="1:16" x14ac:dyDescent="0.3">
      <c r="A49" s="2">
        <v>36635</v>
      </c>
      <c r="B49" s="2" t="s">
        <v>12</v>
      </c>
      <c r="C49" s="3" t="s">
        <v>13</v>
      </c>
      <c r="D49" s="2" t="s">
        <v>14</v>
      </c>
      <c r="E49" s="11">
        <v>46203</v>
      </c>
      <c r="F49" s="2" t="s">
        <v>15</v>
      </c>
      <c r="G49" s="3" t="s">
        <v>329</v>
      </c>
      <c r="H49" s="3" t="s">
        <v>199</v>
      </c>
      <c r="I49" s="4" t="s">
        <v>108</v>
      </c>
      <c r="J49" s="4" t="str">
        <f>VLOOKUP(A49,[1]Auditoría!$A$2:$J$312,10,FALSE)</f>
        <v>Falta Consumos</v>
      </c>
      <c r="K49" s="2" t="s">
        <v>17</v>
      </c>
      <c r="L49" s="3" t="s">
        <v>109</v>
      </c>
      <c r="M49" s="3" t="s">
        <v>331</v>
      </c>
      <c r="N49" s="13">
        <v>46234</v>
      </c>
      <c r="O49" s="13">
        <v>46231</v>
      </c>
    </row>
    <row r="50" spans="1:16" x14ac:dyDescent="0.3">
      <c r="A50" s="2">
        <v>36643</v>
      </c>
      <c r="B50" s="2" t="s">
        <v>12</v>
      </c>
      <c r="C50" s="3" t="s">
        <v>13</v>
      </c>
      <c r="D50" s="2" t="s">
        <v>14</v>
      </c>
      <c r="E50" s="11">
        <v>46203</v>
      </c>
      <c r="F50" s="2" t="s">
        <v>15</v>
      </c>
      <c r="G50" s="3" t="s">
        <v>167</v>
      </c>
      <c r="H50" s="3" t="s">
        <v>91</v>
      </c>
      <c r="I50" s="4" t="s">
        <v>168</v>
      </c>
      <c r="J50" s="4" t="str">
        <f>VLOOKUP(A50,[1]Auditoría!$A$2:$J$312,10,FALSE)</f>
        <v>OK Contabilizar</v>
      </c>
      <c r="K50" s="2" t="s">
        <v>17</v>
      </c>
      <c r="L50" s="3" t="s">
        <v>169</v>
      </c>
      <c r="M50" s="3" t="s">
        <v>170</v>
      </c>
      <c r="N50" s="13">
        <v>46234</v>
      </c>
      <c r="O50" s="13">
        <v>46231</v>
      </c>
      <c r="P50" t="s">
        <v>664</v>
      </c>
    </row>
    <row r="51" spans="1:16" x14ac:dyDescent="0.3">
      <c r="A51" s="2">
        <v>36643</v>
      </c>
      <c r="B51" s="2" t="s">
        <v>12</v>
      </c>
      <c r="C51" s="3" t="s">
        <v>13</v>
      </c>
      <c r="D51" s="2" t="s">
        <v>14</v>
      </c>
      <c r="E51" s="11">
        <v>46203</v>
      </c>
      <c r="F51" s="2" t="s">
        <v>15</v>
      </c>
      <c r="G51" s="3" t="s">
        <v>167</v>
      </c>
      <c r="H51" s="3" t="s">
        <v>91</v>
      </c>
      <c r="I51" s="4" t="s">
        <v>332</v>
      </c>
      <c r="J51" s="4" t="str">
        <f>VLOOKUP(A51,[1]Auditoría!$A$2:$J$312,10,FALSE)</f>
        <v>OK Contabilizar</v>
      </c>
      <c r="K51" s="2" t="s">
        <v>17</v>
      </c>
      <c r="L51" s="3" t="s">
        <v>55</v>
      </c>
      <c r="M51" s="3" t="s">
        <v>170</v>
      </c>
      <c r="N51" s="13">
        <v>46234</v>
      </c>
      <c r="O51" s="13">
        <v>46231</v>
      </c>
      <c r="P51" t="s">
        <v>664</v>
      </c>
    </row>
    <row r="52" spans="1:16" x14ac:dyDescent="0.3">
      <c r="A52" s="5">
        <v>36654</v>
      </c>
      <c r="B52" s="5" t="s">
        <v>12</v>
      </c>
      <c r="C52" s="6" t="s">
        <v>13</v>
      </c>
      <c r="D52" s="5" t="s">
        <v>14</v>
      </c>
      <c r="E52" s="11">
        <v>46203</v>
      </c>
      <c r="F52" s="5" t="s">
        <v>15</v>
      </c>
      <c r="G52" s="6" t="s">
        <v>73</v>
      </c>
      <c r="H52" s="6" t="s">
        <v>74</v>
      </c>
      <c r="I52" s="4" t="s">
        <v>171</v>
      </c>
      <c r="J52" s="4" t="str">
        <f>VLOOKUP(A52,[1]Auditoría!$A$2:$J$312,10,FALSE)</f>
        <v>Falta Cargar Material (Usuario Robles)</v>
      </c>
      <c r="K52" s="5" t="s">
        <v>17</v>
      </c>
      <c r="L52" s="6" t="s">
        <v>172</v>
      </c>
      <c r="M52" s="6" t="s">
        <v>173</v>
      </c>
      <c r="N52" s="13">
        <v>46234</v>
      </c>
      <c r="O52" s="13">
        <v>46231</v>
      </c>
    </row>
    <row r="53" spans="1:16" x14ac:dyDescent="0.3">
      <c r="A53" s="5">
        <v>36657</v>
      </c>
      <c r="B53" s="5" t="s">
        <v>12</v>
      </c>
      <c r="C53" s="6" t="s">
        <v>13</v>
      </c>
      <c r="D53" s="5" t="s">
        <v>14</v>
      </c>
      <c r="E53" s="11">
        <v>46204</v>
      </c>
      <c r="F53" s="5" t="s">
        <v>15</v>
      </c>
      <c r="G53" s="6" t="s">
        <v>333</v>
      </c>
      <c r="H53" s="6" t="s">
        <v>32</v>
      </c>
      <c r="I53" s="4" t="s">
        <v>120</v>
      </c>
      <c r="J53" s="4" t="str">
        <f>VLOOKUP(A53,[1]Auditoría!$A$2:$J$312,10,FALSE)</f>
        <v>Falta Agregar Grasa</v>
      </c>
      <c r="K53" s="5" t="s">
        <v>17</v>
      </c>
      <c r="L53" s="6" t="s">
        <v>55</v>
      </c>
      <c r="M53" s="6" t="s">
        <v>334</v>
      </c>
      <c r="N53" s="13">
        <v>46234</v>
      </c>
      <c r="O53" s="13">
        <v>46231</v>
      </c>
    </row>
    <row r="54" spans="1:16" x14ac:dyDescent="0.3">
      <c r="A54" s="5">
        <v>36661</v>
      </c>
      <c r="B54" s="5" t="s">
        <v>12</v>
      </c>
      <c r="C54" s="6" t="s">
        <v>13</v>
      </c>
      <c r="D54" s="5" t="s">
        <v>14</v>
      </c>
      <c r="E54" s="11">
        <v>46204</v>
      </c>
      <c r="F54" s="5" t="s">
        <v>15</v>
      </c>
      <c r="G54" s="6" t="s">
        <v>54</v>
      </c>
      <c r="H54" s="6" t="s">
        <v>45</v>
      </c>
      <c r="I54" s="8" t="s">
        <v>614</v>
      </c>
      <c r="J54" s="4" t="str">
        <f>VLOOKUP(A54,[1]Auditoría!$A$2:$J$312,10,FALSE)</f>
        <v xml:space="preserve">Ver Comentario, Contabilizar </v>
      </c>
      <c r="K54" s="5" t="s">
        <v>17</v>
      </c>
      <c r="L54" s="6" t="s">
        <v>50</v>
      </c>
      <c r="M54" s="6" t="s">
        <v>51</v>
      </c>
      <c r="N54" s="13">
        <v>46234</v>
      </c>
      <c r="O54" s="13">
        <v>46231</v>
      </c>
      <c r="P54" t="s">
        <v>664</v>
      </c>
    </row>
    <row r="55" spans="1:16" x14ac:dyDescent="0.3">
      <c r="A55" s="5">
        <v>36664</v>
      </c>
      <c r="B55" s="5" t="s">
        <v>12</v>
      </c>
      <c r="C55" s="6" t="s">
        <v>13</v>
      </c>
      <c r="D55" s="5" t="s">
        <v>14</v>
      </c>
      <c r="E55" s="11">
        <v>46204</v>
      </c>
      <c r="F55" s="5" t="s">
        <v>15</v>
      </c>
      <c r="G55" s="6" t="s">
        <v>394</v>
      </c>
      <c r="H55" s="6" t="s">
        <v>32</v>
      </c>
      <c r="I55" s="8" t="s">
        <v>146</v>
      </c>
      <c r="J55" s="4" t="str">
        <f>VLOOKUP(A55,[1]Auditoría!$A$2:$J$312,10,FALSE)</f>
        <v xml:space="preserve">Ver Comentario, Contabilizar </v>
      </c>
      <c r="K55" s="5" t="s">
        <v>17</v>
      </c>
      <c r="L55" s="6" t="s">
        <v>50</v>
      </c>
      <c r="M55" s="6" t="s">
        <v>51</v>
      </c>
      <c r="N55" s="13">
        <v>46234</v>
      </c>
      <c r="O55" s="13">
        <v>46231</v>
      </c>
      <c r="P55" t="s">
        <v>664</v>
      </c>
    </row>
    <row r="56" spans="1:16" x14ac:dyDescent="0.3">
      <c r="A56" s="2">
        <v>36666</v>
      </c>
      <c r="B56" s="2" t="s">
        <v>12</v>
      </c>
      <c r="C56" s="3" t="s">
        <v>13</v>
      </c>
      <c r="D56" s="2" t="s">
        <v>14</v>
      </c>
      <c r="E56" s="11">
        <v>46204</v>
      </c>
      <c r="F56" s="2" t="s">
        <v>15</v>
      </c>
      <c r="G56" s="3" t="s">
        <v>174</v>
      </c>
      <c r="H56" s="3" t="s">
        <v>153</v>
      </c>
      <c r="I56" s="4" t="s">
        <v>175</v>
      </c>
      <c r="J56" s="4" t="str">
        <f>VLOOKUP(A56,[1]Auditoría!$A$2:$J$312,10,FALSE)</f>
        <v>OK, ver comentarios</v>
      </c>
      <c r="K56" s="2" t="s">
        <v>17</v>
      </c>
      <c r="L56" s="3" t="s">
        <v>176</v>
      </c>
      <c r="M56" s="3" t="s">
        <v>177</v>
      </c>
      <c r="N56" s="13">
        <v>46234</v>
      </c>
      <c r="O56" s="13">
        <v>46231</v>
      </c>
      <c r="P56" t="s">
        <v>664</v>
      </c>
    </row>
    <row r="57" spans="1:16" x14ac:dyDescent="0.3">
      <c r="A57" s="2">
        <v>36668</v>
      </c>
      <c r="B57" s="2" t="s">
        <v>12</v>
      </c>
      <c r="C57" s="3" t="s">
        <v>13</v>
      </c>
      <c r="D57" s="2" t="s">
        <v>14</v>
      </c>
      <c r="E57" s="11">
        <v>46204</v>
      </c>
      <c r="F57" s="2" t="s">
        <v>15</v>
      </c>
      <c r="G57" s="3" t="s">
        <v>178</v>
      </c>
      <c r="H57" s="3" t="s">
        <v>32</v>
      </c>
      <c r="I57" s="4" t="s">
        <v>168</v>
      </c>
      <c r="J57" s="4" t="str">
        <f>VLOOKUP(A57,[1]Auditoría!$A$2:$J$312,10,FALSE)</f>
        <v>OK Contabilizar</v>
      </c>
      <c r="K57" s="2" t="s">
        <v>17</v>
      </c>
      <c r="L57" s="3" t="s">
        <v>169</v>
      </c>
      <c r="M57" s="3" t="s">
        <v>335</v>
      </c>
      <c r="N57" s="13">
        <v>46234</v>
      </c>
      <c r="O57" s="13">
        <v>46231</v>
      </c>
      <c r="P57" t="s">
        <v>664</v>
      </c>
    </row>
    <row r="58" spans="1:16" x14ac:dyDescent="0.3">
      <c r="A58" s="2">
        <v>36668</v>
      </c>
      <c r="B58" s="2" t="s">
        <v>12</v>
      </c>
      <c r="C58" s="3" t="s">
        <v>13</v>
      </c>
      <c r="D58" s="2" t="s">
        <v>14</v>
      </c>
      <c r="E58" s="11">
        <v>46204</v>
      </c>
      <c r="F58" s="2" t="s">
        <v>15</v>
      </c>
      <c r="G58" s="3" t="s">
        <v>178</v>
      </c>
      <c r="H58" s="3" t="s">
        <v>32</v>
      </c>
      <c r="I58" s="4" t="s">
        <v>168</v>
      </c>
      <c r="J58" s="4" t="str">
        <f>VLOOKUP(A58,[1]Auditoría!$A$2:$J$312,10,FALSE)</f>
        <v>OK Contabilizar</v>
      </c>
      <c r="K58" s="2" t="s">
        <v>17</v>
      </c>
      <c r="L58" s="3" t="s">
        <v>169</v>
      </c>
      <c r="M58" s="3" t="s">
        <v>335</v>
      </c>
      <c r="N58" s="13">
        <v>46234</v>
      </c>
      <c r="O58" s="13">
        <v>46231</v>
      </c>
      <c r="P58" t="s">
        <v>664</v>
      </c>
    </row>
    <row r="59" spans="1:16" x14ac:dyDescent="0.3">
      <c r="A59" s="2">
        <v>36673</v>
      </c>
      <c r="B59" s="2" t="s">
        <v>12</v>
      </c>
      <c r="C59" s="3" t="s">
        <v>13</v>
      </c>
      <c r="D59" s="2" t="s">
        <v>14</v>
      </c>
      <c r="E59" s="11">
        <v>46204</v>
      </c>
      <c r="F59" s="2" t="s">
        <v>15</v>
      </c>
      <c r="G59" s="3" t="s">
        <v>247</v>
      </c>
      <c r="H59" s="3" t="s">
        <v>21</v>
      </c>
      <c r="I59" s="7" t="s">
        <v>563</v>
      </c>
      <c r="J59" s="4" t="str">
        <f>VLOOKUP(A59,[1]Auditoría!$A$2:$J$312,10,FALSE)</f>
        <v>Falta Material</v>
      </c>
      <c r="K59" s="2" t="s">
        <v>17</v>
      </c>
      <c r="L59" s="3" t="s">
        <v>29</v>
      </c>
      <c r="M59" s="3" t="s">
        <v>564</v>
      </c>
      <c r="N59" s="13">
        <v>46234</v>
      </c>
      <c r="O59" s="13">
        <v>46231</v>
      </c>
    </row>
    <row r="60" spans="1:16" x14ac:dyDescent="0.3">
      <c r="A60" s="5">
        <v>36674</v>
      </c>
      <c r="B60" s="5" t="s">
        <v>18</v>
      </c>
      <c r="C60" s="6" t="s">
        <v>13</v>
      </c>
      <c r="D60" s="5" t="s">
        <v>14</v>
      </c>
      <c r="E60" s="11">
        <v>46204</v>
      </c>
      <c r="F60" s="9" t="s">
        <v>15</v>
      </c>
      <c r="G60" s="6" t="s">
        <v>247</v>
      </c>
      <c r="H60" s="6" t="s">
        <v>21</v>
      </c>
      <c r="I60" s="4" t="s">
        <v>42</v>
      </c>
      <c r="J60" s="4" t="str">
        <f>VLOOKUP(A60,[1]Auditoría!$A$2:$J$312,10,FALSE)</f>
        <v>OK Contabilizar</v>
      </c>
      <c r="K60" s="5" t="s">
        <v>17</v>
      </c>
      <c r="L60" s="6" t="s">
        <v>43</v>
      </c>
      <c r="M60" s="6" t="s">
        <v>86</v>
      </c>
      <c r="N60" s="13">
        <v>46234</v>
      </c>
      <c r="O60" s="13">
        <v>46231</v>
      </c>
      <c r="P60" t="s">
        <v>664</v>
      </c>
    </row>
    <row r="61" spans="1:16" x14ac:dyDescent="0.3">
      <c r="A61" s="2">
        <v>36674</v>
      </c>
      <c r="B61" s="2" t="s">
        <v>18</v>
      </c>
      <c r="C61" s="3" t="s">
        <v>13</v>
      </c>
      <c r="D61" s="2" t="s">
        <v>14</v>
      </c>
      <c r="E61" s="11">
        <v>46204</v>
      </c>
      <c r="F61" s="2" t="s">
        <v>15</v>
      </c>
      <c r="G61" s="3" t="s">
        <v>247</v>
      </c>
      <c r="H61" s="3" t="s">
        <v>21</v>
      </c>
      <c r="I61" s="4" t="s">
        <v>42</v>
      </c>
      <c r="J61" s="4" t="str">
        <f>VLOOKUP(A61,[1]Auditoría!$A$2:$J$312,10,FALSE)</f>
        <v>OK Contabilizar</v>
      </c>
      <c r="K61" s="2" t="s">
        <v>17</v>
      </c>
      <c r="L61" s="3" t="s">
        <v>43</v>
      </c>
      <c r="M61" s="3" t="s">
        <v>86</v>
      </c>
      <c r="N61" s="13">
        <v>46234</v>
      </c>
      <c r="O61" s="13">
        <v>46231</v>
      </c>
      <c r="P61" t="s">
        <v>664</v>
      </c>
    </row>
    <row r="62" spans="1:16" x14ac:dyDescent="0.3">
      <c r="A62" s="2">
        <v>36681</v>
      </c>
      <c r="B62" s="2" t="s">
        <v>12</v>
      </c>
      <c r="C62" s="3" t="s">
        <v>19</v>
      </c>
      <c r="D62" s="2" t="s">
        <v>14</v>
      </c>
      <c r="E62" s="11">
        <v>46204</v>
      </c>
      <c r="F62" s="2" t="s">
        <v>15</v>
      </c>
      <c r="G62" s="3" t="s">
        <v>179</v>
      </c>
      <c r="H62" s="3" t="s">
        <v>159</v>
      </c>
      <c r="I62" s="8" t="s">
        <v>180</v>
      </c>
      <c r="J62" s="4" t="str">
        <f>VLOOKUP(A62,[1]Auditoría!$A$2:$J$312,10,FALSE)</f>
        <v>Falta Material</v>
      </c>
      <c r="K62" s="2" t="s">
        <v>23</v>
      </c>
      <c r="L62" s="3" t="s">
        <v>50</v>
      </c>
      <c r="M62" s="3" t="s">
        <v>51</v>
      </c>
      <c r="N62" s="13">
        <v>46234</v>
      </c>
      <c r="O62" s="13">
        <v>46231</v>
      </c>
    </row>
    <row r="63" spans="1:16" x14ac:dyDescent="0.3">
      <c r="A63" s="5">
        <v>36687</v>
      </c>
      <c r="B63" s="5" t="s">
        <v>12</v>
      </c>
      <c r="C63" s="6" t="s">
        <v>13</v>
      </c>
      <c r="D63" s="5" t="s">
        <v>14</v>
      </c>
      <c r="E63" s="11">
        <v>46204</v>
      </c>
      <c r="F63" s="5" t="s">
        <v>15</v>
      </c>
      <c r="G63" s="6" t="s">
        <v>496</v>
      </c>
      <c r="H63" s="6" t="s">
        <v>16</v>
      </c>
      <c r="I63" s="4" t="s">
        <v>497</v>
      </c>
      <c r="J63" s="4" t="str">
        <f>VLOOKUP(A63,[1]Auditoría!$A$2:$J$312,10,FALSE)</f>
        <v>Falta Material</v>
      </c>
      <c r="K63" s="5" t="s">
        <v>17</v>
      </c>
      <c r="L63" s="6" t="s">
        <v>113</v>
      </c>
      <c r="M63" s="6" t="s">
        <v>498</v>
      </c>
      <c r="N63" s="13">
        <v>46234</v>
      </c>
      <c r="O63" s="13">
        <v>46231</v>
      </c>
    </row>
    <row r="64" spans="1:16" x14ac:dyDescent="0.3">
      <c r="A64" s="5">
        <v>36690</v>
      </c>
      <c r="B64" s="5" t="s">
        <v>18</v>
      </c>
      <c r="C64" s="6" t="s">
        <v>13</v>
      </c>
      <c r="D64" s="5" t="s">
        <v>14</v>
      </c>
      <c r="E64" s="11">
        <v>46204</v>
      </c>
      <c r="F64" s="5" t="s">
        <v>15</v>
      </c>
      <c r="G64" s="6" t="s">
        <v>253</v>
      </c>
      <c r="H64" s="6" t="s">
        <v>16</v>
      </c>
      <c r="I64" s="4" t="s">
        <v>42</v>
      </c>
      <c r="J64" s="4" t="str">
        <f>VLOOKUP(A64,[1]Auditoría!$A$2:$J$312,10,FALSE)</f>
        <v>OK Contabilizar</v>
      </c>
      <c r="K64" s="5" t="s">
        <v>17</v>
      </c>
      <c r="L64" s="6" t="s">
        <v>43</v>
      </c>
      <c r="M64" s="6" t="s">
        <v>521</v>
      </c>
      <c r="N64" s="13">
        <v>46234</v>
      </c>
      <c r="O64" s="13">
        <v>46231</v>
      </c>
      <c r="P64" t="s">
        <v>664</v>
      </c>
    </row>
    <row r="65" spans="1:16" x14ac:dyDescent="0.3">
      <c r="A65" s="2">
        <v>36694</v>
      </c>
      <c r="B65" s="2" t="s">
        <v>12</v>
      </c>
      <c r="C65" s="3" t="s">
        <v>13</v>
      </c>
      <c r="D65" s="2" t="s">
        <v>14</v>
      </c>
      <c r="E65" s="11">
        <v>46204</v>
      </c>
      <c r="F65" s="2" t="s">
        <v>15</v>
      </c>
      <c r="G65" s="3" t="s">
        <v>519</v>
      </c>
      <c r="H65" s="3" t="s">
        <v>91</v>
      </c>
      <c r="I65" s="7" t="s">
        <v>650</v>
      </c>
      <c r="J65" s="4" t="str">
        <f>VLOOKUP(A65,[1]Auditoría!$A$2:$J$312,10,FALSE)</f>
        <v>Falta Material</v>
      </c>
      <c r="K65" s="2" t="s">
        <v>17</v>
      </c>
      <c r="L65" s="3" t="s">
        <v>29</v>
      </c>
      <c r="M65" s="3" t="s">
        <v>489</v>
      </c>
      <c r="N65" s="13">
        <v>46234</v>
      </c>
      <c r="O65" s="13">
        <v>46231</v>
      </c>
    </row>
    <row r="66" spans="1:16" x14ac:dyDescent="0.3">
      <c r="A66" s="5">
        <v>37003</v>
      </c>
      <c r="B66" s="5" t="s">
        <v>12</v>
      </c>
      <c r="C66" s="6" t="s">
        <v>48</v>
      </c>
      <c r="D66" s="5" t="s">
        <v>14</v>
      </c>
      <c r="E66" s="11">
        <v>46204</v>
      </c>
      <c r="F66" s="5" t="s">
        <v>15</v>
      </c>
      <c r="G66" s="6" t="s">
        <v>355</v>
      </c>
      <c r="H66" s="6" t="s">
        <v>61</v>
      </c>
      <c r="I66" s="8" t="s">
        <v>508</v>
      </c>
      <c r="J66" s="4" t="str">
        <f>VLOOKUP(A66,[1]Auditoría!$A$2:$J$312,10,FALSE)</f>
        <v>Falta Material</v>
      </c>
      <c r="K66" s="5" t="s">
        <v>17</v>
      </c>
      <c r="L66" s="6" t="s">
        <v>50</v>
      </c>
      <c r="M66" s="6" t="s">
        <v>51</v>
      </c>
      <c r="N66" s="13">
        <v>46234</v>
      </c>
      <c r="O66" s="13">
        <v>46231</v>
      </c>
    </row>
    <row r="67" spans="1:16" x14ac:dyDescent="0.3">
      <c r="A67" s="5">
        <v>37011</v>
      </c>
      <c r="B67" s="5" t="s">
        <v>12</v>
      </c>
      <c r="C67" s="6" t="s">
        <v>48</v>
      </c>
      <c r="D67" s="5" t="s">
        <v>14</v>
      </c>
      <c r="E67" s="11">
        <v>46204</v>
      </c>
      <c r="F67" s="5" t="s">
        <v>15</v>
      </c>
      <c r="G67" s="6" t="s">
        <v>184</v>
      </c>
      <c r="H67" s="6" t="s">
        <v>185</v>
      </c>
      <c r="I67" s="7" t="s">
        <v>165</v>
      </c>
      <c r="J67" s="4" t="str">
        <f>VLOOKUP(A67,[1]Auditoría!$A$2:$J$312,10,FALSE)</f>
        <v>Falta Consumos</v>
      </c>
      <c r="K67" s="5" t="s">
        <v>17</v>
      </c>
      <c r="L67" s="6" t="s">
        <v>29</v>
      </c>
      <c r="M67" s="6" t="s">
        <v>166</v>
      </c>
      <c r="N67" s="13">
        <v>46234</v>
      </c>
      <c r="O67" s="13">
        <v>46231</v>
      </c>
    </row>
    <row r="68" spans="1:16" x14ac:dyDescent="0.3">
      <c r="A68" s="2">
        <v>36699</v>
      </c>
      <c r="B68" s="2" t="s">
        <v>18</v>
      </c>
      <c r="C68" s="3" t="s">
        <v>13</v>
      </c>
      <c r="D68" s="2" t="s">
        <v>14</v>
      </c>
      <c r="E68" s="11">
        <v>46205</v>
      </c>
      <c r="F68" s="2" t="s">
        <v>15</v>
      </c>
      <c r="G68" s="3" t="s">
        <v>242</v>
      </c>
      <c r="H68" s="3" t="s">
        <v>239</v>
      </c>
      <c r="I68" s="4" t="s">
        <v>42</v>
      </c>
      <c r="J68" s="4" t="str">
        <f>VLOOKUP(A68,[1]Auditoría!$A$2:$J$312,10,FALSE)</f>
        <v>OK Contabilizar</v>
      </c>
      <c r="K68" s="2" t="s">
        <v>17</v>
      </c>
      <c r="L68" s="3" t="s">
        <v>43</v>
      </c>
      <c r="M68" s="3" t="s">
        <v>299</v>
      </c>
      <c r="N68" s="13">
        <v>46234</v>
      </c>
      <c r="O68" s="13">
        <v>46231</v>
      </c>
      <c r="P68" t="s">
        <v>664</v>
      </c>
    </row>
    <row r="69" spans="1:16" x14ac:dyDescent="0.3">
      <c r="A69" s="5">
        <v>36699</v>
      </c>
      <c r="B69" s="5" t="s">
        <v>18</v>
      </c>
      <c r="C69" s="6" t="s">
        <v>13</v>
      </c>
      <c r="D69" s="5" t="s">
        <v>14</v>
      </c>
      <c r="E69" s="11">
        <v>46205</v>
      </c>
      <c r="F69" s="5" t="s">
        <v>15</v>
      </c>
      <c r="G69" s="6" t="s">
        <v>242</v>
      </c>
      <c r="H69" s="6" t="s">
        <v>239</v>
      </c>
      <c r="I69" s="4" t="s">
        <v>42</v>
      </c>
      <c r="J69" s="4" t="str">
        <f>VLOOKUP(A69,[1]Auditoría!$A$2:$J$312,10,FALSE)</f>
        <v>OK Contabilizar</v>
      </c>
      <c r="K69" s="5" t="s">
        <v>17</v>
      </c>
      <c r="L69" s="6" t="s">
        <v>43</v>
      </c>
      <c r="M69" s="6" t="s">
        <v>299</v>
      </c>
      <c r="N69" s="13">
        <v>46234</v>
      </c>
      <c r="O69" s="13">
        <v>46231</v>
      </c>
      <c r="P69" t="s">
        <v>664</v>
      </c>
    </row>
    <row r="70" spans="1:16" x14ac:dyDescent="0.3">
      <c r="A70" s="2">
        <v>36700</v>
      </c>
      <c r="B70" s="2" t="s">
        <v>18</v>
      </c>
      <c r="C70" s="3" t="s">
        <v>13</v>
      </c>
      <c r="D70" s="2" t="s">
        <v>14</v>
      </c>
      <c r="E70" s="11">
        <v>46205</v>
      </c>
      <c r="F70" s="2" t="s">
        <v>15</v>
      </c>
      <c r="G70" s="3" t="s">
        <v>242</v>
      </c>
      <c r="H70" s="3" t="s">
        <v>239</v>
      </c>
      <c r="I70" s="8" t="s">
        <v>421</v>
      </c>
      <c r="J70" s="4" t="str">
        <f>VLOOKUP(A70,[1]Auditoría!$A$2:$J$312,10,FALSE)</f>
        <v xml:space="preserve">Ver Comentario, Contabilizar </v>
      </c>
      <c r="K70" s="2" t="s">
        <v>17</v>
      </c>
      <c r="L70" s="3" t="s">
        <v>50</v>
      </c>
      <c r="M70" s="3" t="s">
        <v>51</v>
      </c>
      <c r="N70" s="13">
        <v>46234</v>
      </c>
      <c r="O70" s="13">
        <v>46231</v>
      </c>
      <c r="P70" t="s">
        <v>664</v>
      </c>
    </row>
    <row r="71" spans="1:16" x14ac:dyDescent="0.3">
      <c r="A71" s="2">
        <v>36850</v>
      </c>
      <c r="B71" s="2" t="s">
        <v>256</v>
      </c>
      <c r="C71" s="3" t="s">
        <v>39</v>
      </c>
      <c r="D71" s="2" t="s">
        <v>14</v>
      </c>
      <c r="E71" s="11">
        <v>46205</v>
      </c>
      <c r="F71" s="2" t="s">
        <v>15</v>
      </c>
      <c r="G71" s="3" t="s">
        <v>266</v>
      </c>
      <c r="H71" s="3" t="s">
        <v>112</v>
      </c>
      <c r="I71" s="8" t="s">
        <v>267</v>
      </c>
      <c r="J71" s="4" t="str">
        <f>VLOOKUP(A71,[1]Auditoría!$A$2:$J$312,10,FALSE)</f>
        <v>Falta Material</v>
      </c>
      <c r="K71" s="2" t="s">
        <v>23</v>
      </c>
      <c r="L71" s="3" t="s">
        <v>50</v>
      </c>
      <c r="M71" s="3" t="s">
        <v>51</v>
      </c>
      <c r="N71" s="13">
        <v>46234</v>
      </c>
      <c r="O71" s="13">
        <v>46231</v>
      </c>
    </row>
    <row r="72" spans="1:16" x14ac:dyDescent="0.3">
      <c r="A72" s="5">
        <v>36861</v>
      </c>
      <c r="B72" s="5" t="s">
        <v>12</v>
      </c>
      <c r="C72" s="6" t="s">
        <v>13</v>
      </c>
      <c r="D72" s="5" t="s">
        <v>14</v>
      </c>
      <c r="E72" s="11">
        <v>46205</v>
      </c>
      <c r="F72" s="5" t="s">
        <v>15</v>
      </c>
      <c r="G72" s="6" t="s">
        <v>56</v>
      </c>
      <c r="H72" s="6" t="s">
        <v>57</v>
      </c>
      <c r="I72" s="4" t="s">
        <v>568</v>
      </c>
      <c r="J72" s="4" t="str">
        <f>VLOOKUP(A72,[1]Auditoría!$A$2:$J$312,10,FALSE)</f>
        <v>Falta Material</v>
      </c>
      <c r="K72" s="5" t="s">
        <v>17</v>
      </c>
      <c r="L72" s="6" t="s">
        <v>383</v>
      </c>
      <c r="M72" s="6" t="s">
        <v>644</v>
      </c>
      <c r="N72" s="13">
        <v>46234</v>
      </c>
      <c r="O72" s="13">
        <v>46231</v>
      </c>
    </row>
    <row r="73" spans="1:16" x14ac:dyDescent="0.3">
      <c r="A73" s="5">
        <v>36997</v>
      </c>
      <c r="B73" s="5" t="s">
        <v>12</v>
      </c>
      <c r="C73" s="6" t="s">
        <v>48</v>
      </c>
      <c r="D73" s="5" t="s">
        <v>14</v>
      </c>
      <c r="E73" s="11">
        <v>46205</v>
      </c>
      <c r="F73" s="5" t="s">
        <v>15</v>
      </c>
      <c r="G73" s="6" t="s">
        <v>181</v>
      </c>
      <c r="H73" s="6" t="s">
        <v>16</v>
      </c>
      <c r="I73" s="7" t="s">
        <v>182</v>
      </c>
      <c r="J73" s="4" t="str">
        <f>VLOOKUP(A73,[1]Auditoría!$A$2:$J$312,10,FALSE)</f>
        <v>Falta Consumos</v>
      </c>
      <c r="K73" s="5" t="s">
        <v>17</v>
      </c>
      <c r="L73" s="6" t="s">
        <v>29</v>
      </c>
      <c r="M73" s="6" t="s">
        <v>183</v>
      </c>
      <c r="N73" s="13">
        <v>46234</v>
      </c>
      <c r="O73" s="13">
        <v>46231</v>
      </c>
    </row>
    <row r="74" spans="1:16" x14ac:dyDescent="0.3">
      <c r="A74" s="2">
        <v>36997</v>
      </c>
      <c r="B74" s="2" t="s">
        <v>12</v>
      </c>
      <c r="C74" s="3" t="s">
        <v>48</v>
      </c>
      <c r="D74" s="2" t="s">
        <v>14</v>
      </c>
      <c r="E74" s="11">
        <v>46205</v>
      </c>
      <c r="F74" s="2" t="s">
        <v>15</v>
      </c>
      <c r="G74" s="3" t="s">
        <v>181</v>
      </c>
      <c r="H74" s="3" t="s">
        <v>16</v>
      </c>
      <c r="I74" s="7" t="s">
        <v>28</v>
      </c>
      <c r="J74" s="4" t="str">
        <f>VLOOKUP(A74,[1]Auditoría!$A$2:$J$312,10,FALSE)</f>
        <v>Falta Consumos</v>
      </c>
      <c r="K74" s="2" t="s">
        <v>17</v>
      </c>
      <c r="L74" s="3" t="s">
        <v>29</v>
      </c>
      <c r="M74" s="3" t="s">
        <v>183</v>
      </c>
      <c r="N74" s="13">
        <v>46234</v>
      </c>
      <c r="O74" s="13">
        <v>46231</v>
      </c>
    </row>
    <row r="75" spans="1:16" x14ac:dyDescent="0.3">
      <c r="A75" s="2">
        <v>36888</v>
      </c>
      <c r="B75" s="2" t="s">
        <v>12</v>
      </c>
      <c r="C75" s="3" t="s">
        <v>13</v>
      </c>
      <c r="D75" s="2" t="s">
        <v>14</v>
      </c>
      <c r="E75" s="11">
        <v>46208</v>
      </c>
      <c r="F75" s="2" t="s">
        <v>15</v>
      </c>
      <c r="G75" s="3" t="s">
        <v>269</v>
      </c>
      <c r="H75" s="3" t="s">
        <v>141</v>
      </c>
      <c r="I75" s="4" t="s">
        <v>270</v>
      </c>
      <c r="J75" s="4" t="str">
        <f>VLOOKUP(A75,[1]Auditoría!$A$2:$J$312,10,FALSE)</f>
        <v>No sale de pañol, Contabilizar</v>
      </c>
      <c r="K75" s="2" t="s">
        <v>17</v>
      </c>
      <c r="L75" s="3" t="s">
        <v>271</v>
      </c>
      <c r="M75" s="3" t="s">
        <v>272</v>
      </c>
      <c r="N75" s="13">
        <v>46234</v>
      </c>
      <c r="O75" s="13">
        <v>46231</v>
      </c>
      <c r="P75" t="s">
        <v>664</v>
      </c>
    </row>
    <row r="76" spans="1:16" x14ac:dyDescent="0.3">
      <c r="A76" s="2">
        <v>36888</v>
      </c>
      <c r="B76" s="2" t="s">
        <v>12</v>
      </c>
      <c r="C76" s="3" t="s">
        <v>13</v>
      </c>
      <c r="D76" s="2" t="s">
        <v>14</v>
      </c>
      <c r="E76" s="11">
        <v>46208</v>
      </c>
      <c r="F76" s="2" t="s">
        <v>15</v>
      </c>
      <c r="G76" s="3" t="s">
        <v>269</v>
      </c>
      <c r="H76" s="3" t="s">
        <v>141</v>
      </c>
      <c r="I76" s="4" t="s">
        <v>270</v>
      </c>
      <c r="J76" s="4" t="str">
        <f>VLOOKUP(A76,[1]Auditoría!$A$2:$J$312,10,FALSE)</f>
        <v>No sale de pañol, Contabilizar</v>
      </c>
      <c r="K76" s="2" t="s">
        <v>17</v>
      </c>
      <c r="L76" s="3" t="s">
        <v>271</v>
      </c>
      <c r="M76" s="3" t="s">
        <v>272</v>
      </c>
      <c r="N76" s="13">
        <v>46234</v>
      </c>
      <c r="O76" s="13">
        <v>46231</v>
      </c>
      <c r="P76" t="s">
        <v>664</v>
      </c>
    </row>
    <row r="77" spans="1:16" x14ac:dyDescent="0.3">
      <c r="A77" s="5">
        <v>36891</v>
      </c>
      <c r="B77" s="5" t="s">
        <v>18</v>
      </c>
      <c r="C77" s="6" t="s">
        <v>13</v>
      </c>
      <c r="D77" s="5" t="s">
        <v>14</v>
      </c>
      <c r="E77" s="11">
        <v>46208</v>
      </c>
      <c r="F77" s="5" t="s">
        <v>15</v>
      </c>
      <c r="G77" s="6" t="s">
        <v>35</v>
      </c>
      <c r="H77" s="6" t="s">
        <v>36</v>
      </c>
      <c r="I77" s="4" t="s">
        <v>42</v>
      </c>
      <c r="J77" s="4" t="str">
        <f>VLOOKUP(A77,[1]Auditoría!$A$2:$J$312,10,FALSE)</f>
        <v>OK Contabilizar</v>
      </c>
      <c r="K77" s="5" t="s">
        <v>17</v>
      </c>
      <c r="L77" s="6" t="s">
        <v>43</v>
      </c>
      <c r="M77" s="6" t="s">
        <v>285</v>
      </c>
      <c r="N77" s="13">
        <v>46234</v>
      </c>
      <c r="O77" s="13">
        <v>46231</v>
      </c>
      <c r="P77" t="s">
        <v>664</v>
      </c>
    </row>
    <row r="78" spans="1:16" x14ac:dyDescent="0.3">
      <c r="A78" s="5">
        <v>36901</v>
      </c>
      <c r="B78" s="5" t="s">
        <v>12</v>
      </c>
      <c r="C78" s="6" t="s">
        <v>19</v>
      </c>
      <c r="D78" s="5" t="s">
        <v>14</v>
      </c>
      <c r="E78" s="11">
        <v>46208</v>
      </c>
      <c r="F78" s="5" t="s">
        <v>15</v>
      </c>
      <c r="G78" s="6" t="s">
        <v>646</v>
      </c>
      <c r="H78" s="6" t="s">
        <v>45</v>
      </c>
      <c r="I78" s="4" t="s">
        <v>121</v>
      </c>
      <c r="J78" s="4" t="str">
        <f>VLOOKUP(A78,[1]Auditoría!$A$2:$J$312,10,FALSE)</f>
        <v>Falta Material</v>
      </c>
      <c r="K78" s="5" t="s">
        <v>17</v>
      </c>
      <c r="L78" s="6" t="s">
        <v>122</v>
      </c>
      <c r="M78" s="6" t="s">
        <v>123</v>
      </c>
      <c r="N78" s="13">
        <v>46234</v>
      </c>
      <c r="O78" s="13">
        <v>46231</v>
      </c>
    </row>
    <row r="79" spans="1:16" x14ac:dyDescent="0.3">
      <c r="A79" s="2">
        <v>36901</v>
      </c>
      <c r="B79" s="2" t="s">
        <v>12</v>
      </c>
      <c r="C79" s="3" t="s">
        <v>19</v>
      </c>
      <c r="D79" s="2" t="s">
        <v>14</v>
      </c>
      <c r="E79" s="11">
        <v>46208</v>
      </c>
      <c r="F79" s="2" t="s">
        <v>15</v>
      </c>
      <c r="G79" s="3" t="s">
        <v>646</v>
      </c>
      <c r="H79" s="3" t="s">
        <v>45</v>
      </c>
      <c r="I79" s="4" t="s">
        <v>124</v>
      </c>
      <c r="J79" s="4" t="str">
        <f>VLOOKUP(A79,[1]Auditoría!$A$2:$J$312,10,FALSE)</f>
        <v>Falta Material</v>
      </c>
      <c r="K79" s="2" t="s">
        <v>17</v>
      </c>
      <c r="L79" s="3" t="s">
        <v>125</v>
      </c>
      <c r="M79" s="3" t="s">
        <v>123</v>
      </c>
      <c r="N79" s="13">
        <v>46234</v>
      </c>
      <c r="O79" s="13">
        <v>46231</v>
      </c>
    </row>
    <row r="80" spans="1:16" x14ac:dyDescent="0.3">
      <c r="A80" s="2">
        <v>36908</v>
      </c>
      <c r="B80" s="2" t="s">
        <v>12</v>
      </c>
      <c r="C80" s="3" t="s">
        <v>13</v>
      </c>
      <c r="D80" s="2" t="s">
        <v>14</v>
      </c>
      <c r="E80" s="11">
        <v>46208</v>
      </c>
      <c r="F80" s="2" t="s">
        <v>15</v>
      </c>
      <c r="G80" s="3" t="s">
        <v>263</v>
      </c>
      <c r="H80" s="3" t="s">
        <v>112</v>
      </c>
      <c r="I80" s="8" t="s">
        <v>590</v>
      </c>
      <c r="J80" s="4" t="str">
        <f>VLOOKUP(A80,[1]Auditoría!$A$2:$J$312,10,FALSE)</f>
        <v xml:space="preserve">Ver Comentario, Contabilizar </v>
      </c>
      <c r="K80" s="2" t="s">
        <v>17</v>
      </c>
      <c r="L80" s="3" t="s">
        <v>50</v>
      </c>
      <c r="M80" s="3" t="s">
        <v>51</v>
      </c>
      <c r="N80" s="13">
        <v>46234</v>
      </c>
      <c r="O80" s="13">
        <v>46231</v>
      </c>
      <c r="P80" t="s">
        <v>664</v>
      </c>
    </row>
    <row r="81" spans="1:16" x14ac:dyDescent="0.3">
      <c r="A81" s="5">
        <v>36909</v>
      </c>
      <c r="B81" s="5" t="s">
        <v>12</v>
      </c>
      <c r="C81" s="6" t="s">
        <v>39</v>
      </c>
      <c r="D81" s="5" t="s">
        <v>14</v>
      </c>
      <c r="E81" s="11">
        <v>46208</v>
      </c>
      <c r="F81" s="5" t="s">
        <v>15</v>
      </c>
      <c r="G81" s="6" t="s">
        <v>192</v>
      </c>
      <c r="H81" s="6" t="s">
        <v>74</v>
      </c>
      <c r="I81" s="4" t="s">
        <v>591</v>
      </c>
      <c r="J81" s="4" t="str">
        <f>VLOOKUP(A81,[1]Auditoría!$A$2:$J$312,10,FALSE)</f>
        <v>Falta Material</v>
      </c>
      <c r="K81" s="5" t="s">
        <v>17</v>
      </c>
      <c r="L81" s="6" t="s">
        <v>406</v>
      </c>
      <c r="M81" s="6" t="s">
        <v>592</v>
      </c>
      <c r="N81" s="13">
        <v>46234</v>
      </c>
      <c r="O81" s="13">
        <v>46231</v>
      </c>
    </row>
    <row r="82" spans="1:16" x14ac:dyDescent="0.3">
      <c r="A82" s="5">
        <v>36912</v>
      </c>
      <c r="B82" s="5" t="s">
        <v>256</v>
      </c>
      <c r="C82" s="6" t="s">
        <v>19</v>
      </c>
      <c r="D82" s="5" t="s">
        <v>14</v>
      </c>
      <c r="E82" s="11">
        <v>46208</v>
      </c>
      <c r="F82" s="5" t="s">
        <v>15</v>
      </c>
      <c r="G82" s="6" t="s">
        <v>209</v>
      </c>
      <c r="H82" s="6" t="s">
        <v>159</v>
      </c>
      <c r="I82" s="8" t="s">
        <v>487</v>
      </c>
      <c r="J82" s="4" t="str">
        <f>VLOOKUP(A82,[1]Auditoría!$A$2:$J$312,10,FALSE)</f>
        <v>OK Contabilizar</v>
      </c>
      <c r="K82" s="5" t="s">
        <v>23</v>
      </c>
      <c r="L82" s="6" t="s">
        <v>50</v>
      </c>
      <c r="M82" s="6" t="s">
        <v>51</v>
      </c>
      <c r="N82" s="13">
        <v>46234</v>
      </c>
      <c r="O82" s="13">
        <v>46231</v>
      </c>
      <c r="P82" t="s">
        <v>664</v>
      </c>
    </row>
    <row r="83" spans="1:16" x14ac:dyDescent="0.3">
      <c r="A83" s="2">
        <v>36916</v>
      </c>
      <c r="B83" s="2" t="s">
        <v>12</v>
      </c>
      <c r="C83" s="3" t="s">
        <v>39</v>
      </c>
      <c r="D83" s="2" t="s">
        <v>14</v>
      </c>
      <c r="E83" s="11">
        <v>46208</v>
      </c>
      <c r="F83" s="2" t="s">
        <v>15</v>
      </c>
      <c r="G83" s="3" t="s">
        <v>286</v>
      </c>
      <c r="H83" s="3" t="s">
        <v>74</v>
      </c>
      <c r="I83" s="8" t="s">
        <v>287</v>
      </c>
      <c r="J83" s="4" t="str">
        <f>VLOOKUP(A83,[1]Auditoría!$A$2:$J$312,10,FALSE)</f>
        <v>Falta Material</v>
      </c>
      <c r="K83" s="2" t="s">
        <v>17</v>
      </c>
      <c r="L83" s="3" t="s">
        <v>50</v>
      </c>
      <c r="M83" s="3" t="s">
        <v>51</v>
      </c>
      <c r="N83" s="13">
        <v>46234</v>
      </c>
      <c r="O83" s="13">
        <v>46231</v>
      </c>
    </row>
    <row r="84" spans="1:16" x14ac:dyDescent="0.3">
      <c r="A84" s="5">
        <v>36919</v>
      </c>
      <c r="B84" s="5" t="s">
        <v>12</v>
      </c>
      <c r="C84" s="6" t="s">
        <v>39</v>
      </c>
      <c r="D84" s="5" t="s">
        <v>14</v>
      </c>
      <c r="E84" s="11">
        <v>46208</v>
      </c>
      <c r="F84" s="5" t="s">
        <v>15</v>
      </c>
      <c r="G84" s="6" t="s">
        <v>40</v>
      </c>
      <c r="H84" s="6" t="s">
        <v>41</v>
      </c>
      <c r="I84" s="4" t="s">
        <v>288</v>
      </c>
      <c r="J84" s="4" t="str">
        <f>VLOOKUP(A84,[1]Auditoría!$A$2:$J$312,10,FALSE)</f>
        <v>OK Contabilizar</v>
      </c>
      <c r="K84" s="5" t="s">
        <v>17</v>
      </c>
      <c r="L84" s="6" t="s">
        <v>289</v>
      </c>
      <c r="M84" s="6" t="s">
        <v>290</v>
      </c>
      <c r="N84" s="13">
        <v>46234</v>
      </c>
      <c r="O84" s="13">
        <v>46231</v>
      </c>
      <c r="P84" t="s">
        <v>664</v>
      </c>
    </row>
    <row r="85" spans="1:16" x14ac:dyDescent="0.3">
      <c r="A85" s="2">
        <v>36935</v>
      </c>
      <c r="B85" s="2" t="s">
        <v>12</v>
      </c>
      <c r="C85" s="3" t="s">
        <v>13</v>
      </c>
      <c r="D85" s="2" t="s">
        <v>14</v>
      </c>
      <c r="E85" s="11">
        <v>46208</v>
      </c>
      <c r="F85" s="2" t="s">
        <v>15</v>
      </c>
      <c r="G85" s="3" t="s">
        <v>56</v>
      </c>
      <c r="H85" s="3" t="s">
        <v>57</v>
      </c>
      <c r="I85" s="7" t="s">
        <v>488</v>
      </c>
      <c r="J85" s="4" t="str">
        <f>VLOOKUP(A85,[1]Auditoría!$A$2:$J$312,10,FALSE)</f>
        <v>Falta Material</v>
      </c>
      <c r="K85" s="2" t="s">
        <v>17</v>
      </c>
      <c r="L85" s="3" t="s">
        <v>29</v>
      </c>
      <c r="M85" s="3" t="s">
        <v>489</v>
      </c>
      <c r="N85" s="13">
        <v>46234</v>
      </c>
      <c r="O85" s="13">
        <v>46231</v>
      </c>
    </row>
    <row r="86" spans="1:16" x14ac:dyDescent="0.3">
      <c r="A86" s="5">
        <v>36936</v>
      </c>
      <c r="B86" s="5" t="s">
        <v>256</v>
      </c>
      <c r="C86" s="6" t="s">
        <v>13</v>
      </c>
      <c r="D86" s="5" t="s">
        <v>14</v>
      </c>
      <c r="E86" s="11">
        <v>46208</v>
      </c>
      <c r="F86" s="5" t="s">
        <v>15</v>
      </c>
      <c r="G86" s="6" t="s">
        <v>73</v>
      </c>
      <c r="H86" s="6" t="s">
        <v>74</v>
      </c>
      <c r="I86" s="8" t="s">
        <v>647</v>
      </c>
      <c r="J86" s="4" t="str">
        <f>VLOOKUP(A86,[1]Auditoría!$A$2:$J$312,10,FALSE)</f>
        <v>Tercero, Contabilizar</v>
      </c>
      <c r="K86" s="5" t="s">
        <v>17</v>
      </c>
      <c r="L86" s="6" t="s">
        <v>50</v>
      </c>
      <c r="M86" s="6" t="s">
        <v>51</v>
      </c>
      <c r="N86" s="13">
        <v>46234</v>
      </c>
      <c r="O86" s="13">
        <v>46231</v>
      </c>
      <c r="P86" t="s">
        <v>664</v>
      </c>
    </row>
    <row r="87" spans="1:16" x14ac:dyDescent="0.3">
      <c r="A87" s="2">
        <v>36936</v>
      </c>
      <c r="B87" s="2" t="s">
        <v>256</v>
      </c>
      <c r="C87" s="3" t="s">
        <v>13</v>
      </c>
      <c r="D87" s="2" t="s">
        <v>14</v>
      </c>
      <c r="E87" s="11">
        <v>46208</v>
      </c>
      <c r="F87" s="2" t="s">
        <v>15</v>
      </c>
      <c r="G87" s="3" t="s">
        <v>73</v>
      </c>
      <c r="H87" s="3" t="s">
        <v>74</v>
      </c>
      <c r="I87" s="8" t="s">
        <v>291</v>
      </c>
      <c r="J87" s="4" t="str">
        <f>VLOOKUP(A87,[1]Auditoría!$A$2:$J$312,10,FALSE)</f>
        <v>Tercero, Contabilizar</v>
      </c>
      <c r="K87" s="2" t="s">
        <v>17</v>
      </c>
      <c r="L87" s="3" t="s">
        <v>50</v>
      </c>
      <c r="M87" s="3" t="s">
        <v>51</v>
      </c>
      <c r="N87" s="13">
        <v>46234</v>
      </c>
      <c r="O87" s="13">
        <v>46231</v>
      </c>
      <c r="P87" t="s">
        <v>664</v>
      </c>
    </row>
    <row r="88" spans="1:16" x14ac:dyDescent="0.3">
      <c r="A88" s="5">
        <v>36936</v>
      </c>
      <c r="B88" s="5" t="s">
        <v>256</v>
      </c>
      <c r="C88" s="6" t="s">
        <v>13</v>
      </c>
      <c r="D88" s="5" t="s">
        <v>14</v>
      </c>
      <c r="E88" s="11">
        <v>46208</v>
      </c>
      <c r="F88" s="5" t="s">
        <v>15</v>
      </c>
      <c r="G88" s="6" t="s">
        <v>73</v>
      </c>
      <c r="H88" s="6" t="s">
        <v>74</v>
      </c>
      <c r="I88" s="8" t="s">
        <v>648</v>
      </c>
      <c r="J88" s="4" t="str">
        <f>VLOOKUP(A88,[1]Auditoría!$A$2:$J$312,10,FALSE)</f>
        <v>Tercero, Contabilizar</v>
      </c>
      <c r="K88" s="5" t="s">
        <v>17</v>
      </c>
      <c r="L88" s="6" t="s">
        <v>50</v>
      </c>
      <c r="M88" s="6" t="s">
        <v>51</v>
      </c>
      <c r="N88" s="13">
        <v>46234</v>
      </c>
      <c r="O88" s="13">
        <v>46231</v>
      </c>
      <c r="P88" t="s">
        <v>664</v>
      </c>
    </row>
    <row r="89" spans="1:16" x14ac:dyDescent="0.3">
      <c r="A89" s="5">
        <v>36937</v>
      </c>
      <c r="B89" s="5" t="s">
        <v>256</v>
      </c>
      <c r="C89" s="6" t="s">
        <v>13</v>
      </c>
      <c r="D89" s="5" t="s">
        <v>14</v>
      </c>
      <c r="E89" s="11">
        <v>46208</v>
      </c>
      <c r="F89" s="9" t="s">
        <v>15</v>
      </c>
      <c r="G89" s="6" t="s">
        <v>106</v>
      </c>
      <c r="H89" s="6" t="s">
        <v>107</v>
      </c>
      <c r="I89" s="7" t="s">
        <v>380</v>
      </c>
      <c r="J89" s="4" t="str">
        <f>VLOOKUP(A89,[1]Auditoría!$A$2:$J$312,10,FALSE)</f>
        <v>cargado</v>
      </c>
      <c r="K89" s="5" t="s">
        <v>17</v>
      </c>
      <c r="L89" s="6" t="s">
        <v>29</v>
      </c>
      <c r="M89" s="6" t="s">
        <v>490</v>
      </c>
      <c r="N89" s="13">
        <v>46234</v>
      </c>
      <c r="O89" s="13">
        <v>46231</v>
      </c>
    </row>
    <row r="90" spans="1:16" x14ac:dyDescent="0.3">
      <c r="A90" s="2">
        <v>36937</v>
      </c>
      <c r="B90" s="2" t="s">
        <v>256</v>
      </c>
      <c r="C90" s="3" t="s">
        <v>13</v>
      </c>
      <c r="D90" s="2" t="s">
        <v>14</v>
      </c>
      <c r="E90" s="11">
        <v>46208</v>
      </c>
      <c r="F90" s="10" t="s">
        <v>15</v>
      </c>
      <c r="G90" s="3" t="s">
        <v>106</v>
      </c>
      <c r="H90" s="3" t="s">
        <v>107</v>
      </c>
      <c r="I90" s="7" t="s">
        <v>381</v>
      </c>
      <c r="J90" s="4" t="str">
        <f>VLOOKUP(A90,[1]Auditoría!$A$2:$J$312,10,FALSE)</f>
        <v>cargado</v>
      </c>
      <c r="K90" s="2" t="s">
        <v>17</v>
      </c>
      <c r="L90" s="3" t="s">
        <v>29</v>
      </c>
      <c r="M90" s="3" t="s">
        <v>490</v>
      </c>
      <c r="N90" s="13">
        <v>46234</v>
      </c>
      <c r="O90" s="13">
        <v>46231</v>
      </c>
    </row>
    <row r="91" spans="1:16" x14ac:dyDescent="0.3">
      <c r="A91" s="2">
        <v>36937</v>
      </c>
      <c r="B91" s="2" t="s">
        <v>256</v>
      </c>
      <c r="C91" s="3" t="s">
        <v>13</v>
      </c>
      <c r="D91" s="2" t="s">
        <v>14</v>
      </c>
      <c r="E91" s="11">
        <v>46208</v>
      </c>
      <c r="F91" s="2" t="s">
        <v>15</v>
      </c>
      <c r="G91" s="3" t="s">
        <v>106</v>
      </c>
      <c r="H91" s="3" t="s">
        <v>107</v>
      </c>
      <c r="I91" s="7" t="s">
        <v>380</v>
      </c>
      <c r="J91" s="4" t="str">
        <f>VLOOKUP(A91,[1]Auditoría!$A$2:$J$312,10,FALSE)</f>
        <v>cargado</v>
      </c>
      <c r="K91" s="2" t="s">
        <v>17</v>
      </c>
      <c r="L91" s="3" t="s">
        <v>29</v>
      </c>
      <c r="M91" s="3" t="s">
        <v>490</v>
      </c>
      <c r="N91" s="13">
        <v>46234</v>
      </c>
      <c r="O91" s="13">
        <v>46231</v>
      </c>
    </row>
    <row r="92" spans="1:16" x14ac:dyDescent="0.3">
      <c r="A92" s="5">
        <v>36937</v>
      </c>
      <c r="B92" s="5" t="s">
        <v>256</v>
      </c>
      <c r="C92" s="6" t="s">
        <v>13</v>
      </c>
      <c r="D92" s="5" t="s">
        <v>14</v>
      </c>
      <c r="E92" s="11">
        <v>46208</v>
      </c>
      <c r="F92" s="5" t="s">
        <v>15</v>
      </c>
      <c r="G92" s="6" t="s">
        <v>106</v>
      </c>
      <c r="H92" s="6" t="s">
        <v>107</v>
      </c>
      <c r="I92" s="7" t="s">
        <v>381</v>
      </c>
      <c r="J92" s="4" t="str">
        <f>VLOOKUP(A92,[1]Auditoría!$A$2:$J$312,10,FALSE)</f>
        <v>cargado</v>
      </c>
      <c r="K92" s="5" t="s">
        <v>17</v>
      </c>
      <c r="L92" s="6" t="s">
        <v>29</v>
      </c>
      <c r="M92" s="6" t="s">
        <v>490</v>
      </c>
      <c r="N92" s="13">
        <v>46234</v>
      </c>
      <c r="O92" s="13">
        <v>46231</v>
      </c>
    </row>
    <row r="93" spans="1:16" x14ac:dyDescent="0.3">
      <c r="A93" s="5">
        <v>37122</v>
      </c>
      <c r="B93" s="5" t="s">
        <v>12</v>
      </c>
      <c r="C93" s="6" t="s">
        <v>48</v>
      </c>
      <c r="D93" s="5" t="s">
        <v>14</v>
      </c>
      <c r="E93" s="11">
        <v>46208</v>
      </c>
      <c r="F93" s="5" t="s">
        <v>15</v>
      </c>
      <c r="G93" s="6" t="s">
        <v>430</v>
      </c>
      <c r="H93" s="6" t="s">
        <v>27</v>
      </c>
      <c r="I93" s="7" t="s">
        <v>461</v>
      </c>
      <c r="J93" s="4" t="str">
        <f>VLOOKUP(A93,[1]Auditoría!$A$2:$J$312,10,FALSE)</f>
        <v>Falta Consumo</v>
      </c>
      <c r="K93" s="5" t="s">
        <v>23</v>
      </c>
      <c r="L93" s="6" t="s">
        <v>29</v>
      </c>
      <c r="M93" s="6" t="s">
        <v>462</v>
      </c>
      <c r="N93" s="13">
        <v>46234</v>
      </c>
      <c r="O93" s="13">
        <v>46231</v>
      </c>
    </row>
    <row r="94" spans="1:16" x14ac:dyDescent="0.3">
      <c r="A94" s="5">
        <v>37123</v>
      </c>
      <c r="B94" s="5" t="s">
        <v>12</v>
      </c>
      <c r="C94" s="6" t="s">
        <v>48</v>
      </c>
      <c r="D94" s="5" t="s">
        <v>14</v>
      </c>
      <c r="E94" s="11">
        <v>46208</v>
      </c>
      <c r="F94" s="5" t="s">
        <v>15</v>
      </c>
      <c r="G94" s="6" t="s">
        <v>384</v>
      </c>
      <c r="H94" s="6" t="s">
        <v>74</v>
      </c>
      <c r="I94" s="7" t="s">
        <v>49</v>
      </c>
      <c r="J94" s="4" t="str">
        <f>VLOOKUP(A94,[1]Auditoría!$A$2:$J$312,10,FALSE)</f>
        <v>Falta Material</v>
      </c>
      <c r="K94" s="5" t="s">
        <v>23</v>
      </c>
      <c r="L94" s="6" t="s">
        <v>29</v>
      </c>
      <c r="M94" s="6" t="s">
        <v>231</v>
      </c>
      <c r="N94" s="13">
        <v>46234</v>
      </c>
      <c r="O94" s="13">
        <v>46231</v>
      </c>
    </row>
    <row r="95" spans="1:16" x14ac:dyDescent="0.3">
      <c r="A95" s="2">
        <v>37124</v>
      </c>
      <c r="B95" s="2" t="s">
        <v>12</v>
      </c>
      <c r="C95" s="3" t="s">
        <v>48</v>
      </c>
      <c r="D95" s="2" t="s">
        <v>14</v>
      </c>
      <c r="E95" s="11">
        <v>46208</v>
      </c>
      <c r="F95" s="2" t="s">
        <v>15</v>
      </c>
      <c r="G95" s="3" t="s">
        <v>295</v>
      </c>
      <c r="H95" s="3" t="s">
        <v>74</v>
      </c>
      <c r="I95" s="7" t="s">
        <v>49</v>
      </c>
      <c r="J95" s="4" t="str">
        <f>VLOOKUP(A95,[1]Auditoría!$A$2:$J$312,10,FALSE)</f>
        <v>Falta Material</v>
      </c>
      <c r="K95" s="2" t="s">
        <v>17</v>
      </c>
      <c r="L95" s="3" t="s">
        <v>29</v>
      </c>
      <c r="M95" s="3" t="s">
        <v>231</v>
      </c>
      <c r="N95" s="13">
        <v>46234</v>
      </c>
      <c r="O95" s="13">
        <v>46231</v>
      </c>
    </row>
    <row r="96" spans="1:16" x14ac:dyDescent="0.3">
      <c r="A96" s="5">
        <v>37125</v>
      </c>
      <c r="B96" s="5" t="s">
        <v>12</v>
      </c>
      <c r="C96" s="6" t="s">
        <v>48</v>
      </c>
      <c r="D96" s="5" t="s">
        <v>14</v>
      </c>
      <c r="E96" s="11">
        <v>46208</v>
      </c>
      <c r="F96" s="5" t="s">
        <v>15</v>
      </c>
      <c r="G96" s="6" t="s">
        <v>580</v>
      </c>
      <c r="H96" s="6" t="s">
        <v>581</v>
      </c>
      <c r="I96" s="7" t="s">
        <v>49</v>
      </c>
      <c r="J96" s="4" t="str">
        <f>VLOOKUP(A96,[1]Auditoría!$A$2:$J$312,10,FALSE)</f>
        <v>Falta Material</v>
      </c>
      <c r="K96" s="5" t="s">
        <v>17</v>
      </c>
      <c r="L96" s="6" t="s">
        <v>29</v>
      </c>
      <c r="M96" s="6" t="s">
        <v>231</v>
      </c>
      <c r="N96" s="13">
        <v>46234</v>
      </c>
      <c r="O96" s="13">
        <v>46231</v>
      </c>
    </row>
    <row r="97" spans="1:16" x14ac:dyDescent="0.3">
      <c r="A97" s="2">
        <v>37141</v>
      </c>
      <c r="B97" s="2" t="s">
        <v>12</v>
      </c>
      <c r="C97" s="3" t="s">
        <v>48</v>
      </c>
      <c r="D97" s="2" t="s">
        <v>14</v>
      </c>
      <c r="E97" s="11">
        <v>46208</v>
      </c>
      <c r="F97" s="2" t="s">
        <v>15</v>
      </c>
      <c r="G97" s="3" t="s">
        <v>62</v>
      </c>
      <c r="H97" s="3" t="s">
        <v>63</v>
      </c>
      <c r="I97" s="8" t="s">
        <v>64</v>
      </c>
      <c r="J97" s="4" t="str">
        <f>VLOOKUP(A97,[1]Auditoría!$A$2:$J$312,10,FALSE)</f>
        <v>Falta Material</v>
      </c>
      <c r="K97" s="2" t="s">
        <v>17</v>
      </c>
      <c r="L97" s="3" t="s">
        <v>50</v>
      </c>
      <c r="M97" s="3" t="s">
        <v>51</v>
      </c>
      <c r="N97" s="13">
        <v>46234</v>
      </c>
      <c r="O97" s="13">
        <v>46231</v>
      </c>
    </row>
    <row r="98" spans="1:16" ht="115.2" x14ac:dyDescent="0.3">
      <c r="A98" s="21">
        <v>37032</v>
      </c>
      <c r="B98" s="21" t="s">
        <v>12</v>
      </c>
      <c r="C98" s="22" t="s">
        <v>13</v>
      </c>
      <c r="D98" s="21" t="s">
        <v>14</v>
      </c>
      <c r="E98" s="23">
        <v>46209</v>
      </c>
      <c r="F98" s="21" t="s">
        <v>15</v>
      </c>
      <c r="G98" s="22" t="s">
        <v>186</v>
      </c>
      <c r="H98" s="22" t="s">
        <v>91</v>
      </c>
      <c r="I98" s="4" t="s">
        <v>187</v>
      </c>
      <c r="J98" s="4" t="s">
        <v>668</v>
      </c>
      <c r="K98" s="2" t="s">
        <v>17</v>
      </c>
      <c r="L98" s="3" t="s">
        <v>24</v>
      </c>
      <c r="M98" s="19" t="s">
        <v>188</v>
      </c>
      <c r="N98" s="13">
        <v>46234</v>
      </c>
      <c r="O98"/>
    </row>
    <row r="99" spans="1:16" x14ac:dyDescent="0.3">
      <c r="A99" s="2">
        <v>37135</v>
      </c>
      <c r="B99" s="2" t="s">
        <v>12</v>
      </c>
      <c r="C99" s="3" t="s">
        <v>48</v>
      </c>
      <c r="D99" s="2" t="s">
        <v>14</v>
      </c>
      <c r="E99" s="11">
        <v>46209</v>
      </c>
      <c r="F99" s="2" t="s">
        <v>15</v>
      </c>
      <c r="G99" s="3" t="s">
        <v>213</v>
      </c>
      <c r="H99" s="3" t="s">
        <v>61</v>
      </c>
      <c r="I99" s="8" t="s">
        <v>49</v>
      </c>
      <c r="J99" s="4" t="str">
        <f>VLOOKUP(A99,[1]Auditoría!$A$2:$J$312,10,FALSE)</f>
        <v>Falta Material</v>
      </c>
      <c r="K99" s="2" t="s">
        <v>17</v>
      </c>
      <c r="L99" s="3" t="s">
        <v>50</v>
      </c>
      <c r="M99" s="3" t="s">
        <v>51</v>
      </c>
      <c r="N99" s="13">
        <v>46234</v>
      </c>
      <c r="O99" s="13">
        <v>46231</v>
      </c>
    </row>
    <row r="100" spans="1:16" x14ac:dyDescent="0.3">
      <c r="A100" s="5">
        <v>37136</v>
      </c>
      <c r="B100" s="5" t="s">
        <v>12</v>
      </c>
      <c r="C100" s="6" t="s">
        <v>48</v>
      </c>
      <c r="D100" s="5" t="s">
        <v>14</v>
      </c>
      <c r="E100" s="11">
        <v>46209</v>
      </c>
      <c r="F100" s="5" t="s">
        <v>15</v>
      </c>
      <c r="G100" s="6" t="s">
        <v>60</v>
      </c>
      <c r="H100" s="6" t="s">
        <v>61</v>
      </c>
      <c r="I100" s="8" t="s">
        <v>49</v>
      </c>
      <c r="J100" s="4" t="str">
        <f>VLOOKUP(A100,[1]Auditoría!$A$2:$J$312,10,FALSE)</f>
        <v>Falta Material</v>
      </c>
      <c r="K100" s="5" t="s">
        <v>17</v>
      </c>
      <c r="L100" s="6" t="s">
        <v>50</v>
      </c>
      <c r="M100" s="6" t="s">
        <v>51</v>
      </c>
      <c r="N100" s="13">
        <v>46234</v>
      </c>
      <c r="O100" s="13">
        <v>46231</v>
      </c>
    </row>
    <row r="101" spans="1:16" x14ac:dyDescent="0.3">
      <c r="A101" s="2">
        <v>37137</v>
      </c>
      <c r="B101" s="2" t="s">
        <v>12</v>
      </c>
      <c r="C101" s="3" t="s">
        <v>48</v>
      </c>
      <c r="D101" s="2" t="s">
        <v>14</v>
      </c>
      <c r="E101" s="11">
        <v>46209</v>
      </c>
      <c r="F101" s="2" t="s">
        <v>15</v>
      </c>
      <c r="G101" s="3" t="s">
        <v>418</v>
      </c>
      <c r="H101" s="3" t="s">
        <v>61</v>
      </c>
      <c r="I101" s="8" t="s">
        <v>49</v>
      </c>
      <c r="J101" s="4" t="str">
        <f>VLOOKUP(A101,[1]Auditoría!$A$2:$J$312,10,FALSE)</f>
        <v>Falta Material</v>
      </c>
      <c r="K101" s="2" t="s">
        <v>17</v>
      </c>
      <c r="L101" s="3" t="s">
        <v>50</v>
      </c>
      <c r="M101" s="3" t="s">
        <v>51</v>
      </c>
      <c r="N101" s="13">
        <v>46234</v>
      </c>
      <c r="O101" s="13">
        <v>46231</v>
      </c>
    </row>
    <row r="102" spans="1:16" x14ac:dyDescent="0.3">
      <c r="A102" s="5">
        <v>37138</v>
      </c>
      <c r="B102" s="5" t="s">
        <v>12</v>
      </c>
      <c r="C102" s="6" t="s">
        <v>48</v>
      </c>
      <c r="D102" s="5" t="s">
        <v>14</v>
      </c>
      <c r="E102" s="11">
        <v>46209</v>
      </c>
      <c r="F102" s="5" t="s">
        <v>15</v>
      </c>
      <c r="G102" s="6" t="s">
        <v>385</v>
      </c>
      <c r="H102" s="6" t="s">
        <v>61</v>
      </c>
      <c r="I102" s="8" t="s">
        <v>49</v>
      </c>
      <c r="J102" s="4" t="str">
        <f>VLOOKUP(A102,[1]Auditoría!$A$2:$J$312,10,FALSE)</f>
        <v>Falta Material</v>
      </c>
      <c r="K102" s="5" t="s">
        <v>17</v>
      </c>
      <c r="L102" s="6" t="s">
        <v>50</v>
      </c>
      <c r="M102" s="6" t="s">
        <v>51</v>
      </c>
      <c r="N102" s="13">
        <v>46234</v>
      </c>
      <c r="O102" s="13">
        <v>46231</v>
      </c>
    </row>
    <row r="103" spans="1:16" x14ac:dyDescent="0.3">
      <c r="A103" s="5">
        <v>37420</v>
      </c>
      <c r="B103" s="5" t="s">
        <v>12</v>
      </c>
      <c r="C103" s="6" t="s">
        <v>13</v>
      </c>
      <c r="D103" s="5" t="s">
        <v>14</v>
      </c>
      <c r="E103" s="11">
        <v>46209</v>
      </c>
      <c r="F103" s="5" t="s">
        <v>15</v>
      </c>
      <c r="G103" s="6" t="s">
        <v>358</v>
      </c>
      <c r="H103" s="6" t="s">
        <v>16</v>
      </c>
      <c r="I103" s="7" t="s">
        <v>575</v>
      </c>
      <c r="J103" s="4" t="s">
        <v>666</v>
      </c>
      <c r="K103" s="5" t="s">
        <v>23</v>
      </c>
      <c r="L103" s="6" t="s">
        <v>29</v>
      </c>
      <c r="M103" s="6" t="s">
        <v>353</v>
      </c>
      <c r="N103" s="13">
        <v>46234</v>
      </c>
      <c r="O103"/>
    </row>
    <row r="104" spans="1:16" ht="57.6" x14ac:dyDescent="0.3">
      <c r="A104" s="21">
        <v>37044</v>
      </c>
      <c r="B104" s="21" t="s">
        <v>12</v>
      </c>
      <c r="C104" s="22" t="s">
        <v>13</v>
      </c>
      <c r="D104" s="21" t="s">
        <v>14</v>
      </c>
      <c r="E104" s="23">
        <v>46210</v>
      </c>
      <c r="F104" s="21" t="s">
        <v>15</v>
      </c>
      <c r="G104" s="22" t="s">
        <v>309</v>
      </c>
      <c r="H104" s="22" t="s">
        <v>199</v>
      </c>
      <c r="I104" s="4" t="s">
        <v>336</v>
      </c>
      <c r="J104" s="4" t="s">
        <v>667</v>
      </c>
      <c r="K104" s="2" t="s">
        <v>17</v>
      </c>
      <c r="L104" s="3" t="s">
        <v>109</v>
      </c>
      <c r="M104" s="19" t="s">
        <v>337</v>
      </c>
      <c r="N104" s="13">
        <v>46234</v>
      </c>
      <c r="O104"/>
      <c r="P104" t="s">
        <v>664</v>
      </c>
    </row>
    <row r="105" spans="1:16" ht="57.6" x14ac:dyDescent="0.3">
      <c r="A105" s="21">
        <v>37044</v>
      </c>
      <c r="B105" s="21" t="s">
        <v>12</v>
      </c>
      <c r="C105" s="22" t="s">
        <v>13</v>
      </c>
      <c r="D105" s="21" t="s">
        <v>14</v>
      </c>
      <c r="E105" s="23">
        <v>46210</v>
      </c>
      <c r="F105" s="21" t="s">
        <v>15</v>
      </c>
      <c r="G105" s="22" t="s">
        <v>309</v>
      </c>
      <c r="H105" s="22" t="s">
        <v>199</v>
      </c>
      <c r="I105" s="4" t="s">
        <v>402</v>
      </c>
      <c r="J105" s="4" t="s">
        <v>667</v>
      </c>
      <c r="K105" s="2" t="s">
        <v>17</v>
      </c>
      <c r="L105" s="3" t="s">
        <v>109</v>
      </c>
      <c r="M105" s="19" t="s">
        <v>337</v>
      </c>
      <c r="N105" s="13">
        <v>46234</v>
      </c>
      <c r="O105"/>
      <c r="P105" t="s">
        <v>664</v>
      </c>
    </row>
    <row r="106" spans="1:16" x14ac:dyDescent="0.3">
      <c r="A106" s="5">
        <v>37053</v>
      </c>
      <c r="B106" s="5" t="s">
        <v>18</v>
      </c>
      <c r="C106" s="6" t="s">
        <v>13</v>
      </c>
      <c r="D106" s="5" t="s">
        <v>14</v>
      </c>
      <c r="E106" s="11">
        <v>46210</v>
      </c>
      <c r="F106" s="5" t="s">
        <v>15</v>
      </c>
      <c r="G106" s="6" t="s">
        <v>509</v>
      </c>
      <c r="H106" s="6" t="s">
        <v>41</v>
      </c>
      <c r="I106" s="7" t="s">
        <v>205</v>
      </c>
      <c r="J106" s="4" t="s">
        <v>666</v>
      </c>
      <c r="K106" s="5" t="s">
        <v>17</v>
      </c>
      <c r="L106" s="6" t="s">
        <v>29</v>
      </c>
      <c r="M106" s="6" t="s">
        <v>206</v>
      </c>
      <c r="N106" s="13">
        <v>46234</v>
      </c>
      <c r="O106"/>
    </row>
    <row r="107" spans="1:16" ht="28.8" x14ac:dyDescent="0.3">
      <c r="A107" s="21">
        <v>37056</v>
      </c>
      <c r="B107" s="21" t="s">
        <v>12</v>
      </c>
      <c r="C107" s="22" t="s">
        <v>19</v>
      </c>
      <c r="D107" s="21" t="s">
        <v>14</v>
      </c>
      <c r="E107" s="23">
        <v>46210</v>
      </c>
      <c r="F107" s="21" t="s">
        <v>15</v>
      </c>
      <c r="G107" s="22" t="s">
        <v>555</v>
      </c>
      <c r="H107" s="22" t="s">
        <v>21</v>
      </c>
      <c r="I107" s="4" t="s">
        <v>615</v>
      </c>
      <c r="J107" s="4" t="s">
        <v>667</v>
      </c>
      <c r="K107" s="5" t="s">
        <v>17</v>
      </c>
      <c r="L107" s="6" t="s">
        <v>616</v>
      </c>
      <c r="M107" s="18" t="s">
        <v>617</v>
      </c>
      <c r="N107" s="13">
        <v>46234</v>
      </c>
      <c r="O107"/>
      <c r="P107" t="s">
        <v>664</v>
      </c>
    </row>
    <row r="108" spans="1:16" ht="86.4" x14ac:dyDescent="0.3">
      <c r="A108" s="21">
        <v>37074</v>
      </c>
      <c r="B108" s="21" t="s">
        <v>12</v>
      </c>
      <c r="C108" s="22" t="s">
        <v>13</v>
      </c>
      <c r="D108" s="21" t="s">
        <v>14</v>
      </c>
      <c r="E108" s="23">
        <v>46210</v>
      </c>
      <c r="F108" s="21" t="s">
        <v>15</v>
      </c>
      <c r="G108" s="22" t="s">
        <v>184</v>
      </c>
      <c r="H108" s="22" t="s">
        <v>185</v>
      </c>
      <c r="I108" s="4" t="s">
        <v>175</v>
      </c>
      <c r="J108" s="4" t="s">
        <v>667</v>
      </c>
      <c r="K108" s="5" t="s">
        <v>17</v>
      </c>
      <c r="L108" s="6" t="s">
        <v>264</v>
      </c>
      <c r="M108" s="18" t="s">
        <v>338</v>
      </c>
      <c r="N108" s="13">
        <v>46234</v>
      </c>
      <c r="O108"/>
    </row>
    <row r="109" spans="1:16" ht="216" x14ac:dyDescent="0.3">
      <c r="A109" s="21">
        <v>37079</v>
      </c>
      <c r="B109" s="21" t="s">
        <v>12</v>
      </c>
      <c r="C109" s="22" t="s">
        <v>13</v>
      </c>
      <c r="D109" s="21" t="s">
        <v>14</v>
      </c>
      <c r="E109" s="23">
        <v>46212</v>
      </c>
      <c r="F109" s="24" t="s">
        <v>15</v>
      </c>
      <c r="G109" s="22" t="s">
        <v>189</v>
      </c>
      <c r="H109" s="22" t="s">
        <v>45</v>
      </c>
      <c r="I109" s="4" t="s">
        <v>618</v>
      </c>
      <c r="J109" s="4" t="s">
        <v>668</v>
      </c>
      <c r="K109" s="2" t="s">
        <v>17</v>
      </c>
      <c r="L109" s="3" t="s">
        <v>403</v>
      </c>
      <c r="M109" s="19" t="s">
        <v>190</v>
      </c>
      <c r="N109" s="13">
        <v>46234</v>
      </c>
      <c r="O109"/>
      <c r="P109" t="s">
        <v>669</v>
      </c>
    </row>
    <row r="110" spans="1:16" x14ac:dyDescent="0.3">
      <c r="A110" s="5">
        <v>37081</v>
      </c>
      <c r="B110" s="5" t="s">
        <v>12</v>
      </c>
      <c r="C110" s="6" t="s">
        <v>13</v>
      </c>
      <c r="D110" s="5" t="s">
        <v>14</v>
      </c>
      <c r="E110" s="11">
        <v>46212</v>
      </c>
      <c r="F110" s="5" t="s">
        <v>15</v>
      </c>
      <c r="G110" s="6" t="s">
        <v>88</v>
      </c>
      <c r="H110" s="6" t="s">
        <v>74</v>
      </c>
      <c r="I110" s="4" t="s">
        <v>257</v>
      </c>
      <c r="J110" s="4" t="str">
        <f>VLOOKUP(A110,[1]Auditoría!$A$2:$J$312,10,FALSE)</f>
        <v>Falta Consumos</v>
      </c>
      <c r="K110" s="5" t="s">
        <v>17</v>
      </c>
      <c r="L110" s="6" t="s">
        <v>258</v>
      </c>
      <c r="M110" s="6" t="s">
        <v>259</v>
      </c>
      <c r="N110" s="13">
        <v>46234</v>
      </c>
      <c r="O110" s="13">
        <v>46231</v>
      </c>
    </row>
    <row r="111" spans="1:16" x14ac:dyDescent="0.3">
      <c r="A111" s="2">
        <v>37081</v>
      </c>
      <c r="B111" s="2" t="s">
        <v>12</v>
      </c>
      <c r="C111" s="3" t="s">
        <v>13</v>
      </c>
      <c r="D111" s="2" t="s">
        <v>14</v>
      </c>
      <c r="E111" s="11">
        <v>46212</v>
      </c>
      <c r="F111" s="2" t="s">
        <v>15</v>
      </c>
      <c r="G111" s="3" t="s">
        <v>88</v>
      </c>
      <c r="H111" s="3" t="s">
        <v>74</v>
      </c>
      <c r="I111" s="4" t="s">
        <v>339</v>
      </c>
      <c r="J111" s="4" t="str">
        <f>VLOOKUP(A111,[1]Auditoría!$A$2:$J$312,10,FALSE)</f>
        <v>Falta Consumos</v>
      </c>
      <c r="K111" s="2" t="s">
        <v>17</v>
      </c>
      <c r="L111" s="3" t="s">
        <v>340</v>
      </c>
      <c r="M111" s="3" t="s">
        <v>259</v>
      </c>
      <c r="N111" s="13">
        <v>46234</v>
      </c>
      <c r="O111" s="13">
        <v>46231</v>
      </c>
    </row>
    <row r="112" spans="1:16" x14ac:dyDescent="0.3">
      <c r="A112" s="2">
        <v>37081</v>
      </c>
      <c r="B112" s="2" t="s">
        <v>12</v>
      </c>
      <c r="C112" s="3" t="s">
        <v>13</v>
      </c>
      <c r="D112" s="2" t="s">
        <v>14</v>
      </c>
      <c r="E112" s="11">
        <v>46212</v>
      </c>
      <c r="F112" s="2" t="s">
        <v>15</v>
      </c>
      <c r="G112" s="3" t="s">
        <v>88</v>
      </c>
      <c r="H112" s="3" t="s">
        <v>74</v>
      </c>
      <c r="I112" s="4" t="s">
        <v>382</v>
      </c>
      <c r="J112" s="4" t="str">
        <f>VLOOKUP(A112,[1]Auditoría!$A$2:$J$312,10,FALSE)</f>
        <v>Falta Consumos</v>
      </c>
      <c r="K112" s="2" t="s">
        <v>17</v>
      </c>
      <c r="L112" s="3" t="s">
        <v>383</v>
      </c>
      <c r="M112" s="3" t="s">
        <v>259</v>
      </c>
      <c r="N112" s="13">
        <v>46234</v>
      </c>
      <c r="O112" s="13">
        <v>46231</v>
      </c>
    </row>
    <row r="113" spans="1:15" x14ac:dyDescent="0.3">
      <c r="A113" s="2">
        <v>37081</v>
      </c>
      <c r="B113" s="2" t="s">
        <v>12</v>
      </c>
      <c r="C113" s="3" t="s">
        <v>13</v>
      </c>
      <c r="D113" s="2" t="s">
        <v>14</v>
      </c>
      <c r="E113" s="11">
        <v>46212</v>
      </c>
      <c r="F113" s="2" t="s">
        <v>15</v>
      </c>
      <c r="G113" s="3" t="s">
        <v>88</v>
      </c>
      <c r="H113" s="3" t="s">
        <v>74</v>
      </c>
      <c r="I113" s="4" t="s">
        <v>619</v>
      </c>
      <c r="J113" s="4" t="str">
        <f>VLOOKUP(A113,[1]Auditoría!$A$2:$J$312,10,FALSE)</f>
        <v>Falta Consumos</v>
      </c>
      <c r="K113" s="2" t="s">
        <v>17</v>
      </c>
      <c r="L113" s="3" t="s">
        <v>598</v>
      </c>
      <c r="M113" s="3" t="s">
        <v>259</v>
      </c>
      <c r="N113" s="13">
        <v>46234</v>
      </c>
      <c r="O113" s="13">
        <v>46231</v>
      </c>
    </row>
    <row r="114" spans="1:15" x14ac:dyDescent="0.3">
      <c r="A114" s="2">
        <v>37086</v>
      </c>
      <c r="B114" s="2" t="s">
        <v>12</v>
      </c>
      <c r="C114" s="3" t="s">
        <v>13</v>
      </c>
      <c r="D114" s="2" t="s">
        <v>14</v>
      </c>
      <c r="E114" s="11">
        <v>46212</v>
      </c>
      <c r="F114" s="2" t="s">
        <v>15</v>
      </c>
      <c r="G114" s="3" t="s">
        <v>576</v>
      </c>
      <c r="H114" s="3" t="s">
        <v>185</v>
      </c>
      <c r="I114" s="4" t="s">
        <v>638</v>
      </c>
      <c r="J114" s="4" t="str">
        <f>VLOOKUP(A114,[1]Auditoría!$A$2:$J$312,10,FALSE)</f>
        <v>Falta Consumos (ver material con pañol si es el correcto)</v>
      </c>
      <c r="K114" s="2" t="s">
        <v>17</v>
      </c>
      <c r="L114" s="3" t="s">
        <v>55</v>
      </c>
      <c r="M114" s="3" t="s">
        <v>639</v>
      </c>
      <c r="N114" s="13">
        <v>46234</v>
      </c>
      <c r="O114" s="13">
        <v>46231</v>
      </c>
    </row>
    <row r="115" spans="1:15" x14ac:dyDescent="0.3">
      <c r="A115" s="2">
        <v>37406</v>
      </c>
      <c r="B115" s="2" t="s">
        <v>12</v>
      </c>
      <c r="C115" s="3" t="s">
        <v>13</v>
      </c>
      <c r="D115" s="2" t="s">
        <v>14</v>
      </c>
      <c r="E115" s="11">
        <v>46212</v>
      </c>
      <c r="F115" s="2" t="s">
        <v>15</v>
      </c>
      <c r="G115" s="3" t="s">
        <v>550</v>
      </c>
      <c r="H115" s="3" t="s">
        <v>32</v>
      </c>
      <c r="I115" s="7" t="s">
        <v>28</v>
      </c>
      <c r="J115" s="4" t="s">
        <v>666</v>
      </c>
      <c r="K115" s="2" t="s">
        <v>17</v>
      </c>
      <c r="L115" s="3" t="s">
        <v>29</v>
      </c>
      <c r="M115" s="3" t="s">
        <v>625</v>
      </c>
      <c r="N115" s="13">
        <v>46234</v>
      </c>
      <c r="O115"/>
    </row>
    <row r="116" spans="1:15" x14ac:dyDescent="0.3">
      <c r="A116" s="5">
        <v>37408</v>
      </c>
      <c r="B116" s="5" t="s">
        <v>12</v>
      </c>
      <c r="C116" s="6" t="s">
        <v>13</v>
      </c>
      <c r="D116" s="5" t="s">
        <v>14</v>
      </c>
      <c r="E116" s="11">
        <v>46212</v>
      </c>
      <c r="F116" s="5" t="s">
        <v>15</v>
      </c>
      <c r="G116" s="6" t="s">
        <v>358</v>
      </c>
      <c r="H116" s="6" t="s">
        <v>16</v>
      </c>
      <c r="I116" s="7" t="s">
        <v>100</v>
      </c>
      <c r="J116" s="4" t="s">
        <v>666</v>
      </c>
      <c r="K116" s="5" t="s">
        <v>17</v>
      </c>
      <c r="L116" s="6" t="s">
        <v>29</v>
      </c>
      <c r="M116" s="6" t="s">
        <v>233</v>
      </c>
      <c r="N116" s="13">
        <v>46234</v>
      </c>
      <c r="O116"/>
    </row>
    <row r="117" spans="1:15" x14ac:dyDescent="0.3">
      <c r="A117" s="2">
        <v>37408</v>
      </c>
      <c r="B117" s="2" t="s">
        <v>12</v>
      </c>
      <c r="C117" s="3" t="s">
        <v>13</v>
      </c>
      <c r="D117" s="2" t="s">
        <v>14</v>
      </c>
      <c r="E117" s="11">
        <v>46212</v>
      </c>
      <c r="F117" s="2" t="s">
        <v>15</v>
      </c>
      <c r="G117" s="3" t="s">
        <v>358</v>
      </c>
      <c r="H117" s="3" t="s">
        <v>16</v>
      </c>
      <c r="I117" s="7" t="s">
        <v>100</v>
      </c>
      <c r="J117" s="4" t="s">
        <v>666</v>
      </c>
      <c r="K117" s="2" t="s">
        <v>17</v>
      </c>
      <c r="L117" s="3" t="s">
        <v>29</v>
      </c>
      <c r="M117" s="3" t="s">
        <v>233</v>
      </c>
      <c r="N117" s="13">
        <v>46234</v>
      </c>
      <c r="O117"/>
    </row>
    <row r="118" spans="1:15" x14ac:dyDescent="0.3">
      <c r="A118" s="5">
        <v>37410</v>
      </c>
      <c r="B118" s="5" t="s">
        <v>12</v>
      </c>
      <c r="C118" s="6" t="s">
        <v>13</v>
      </c>
      <c r="D118" s="5" t="s">
        <v>14</v>
      </c>
      <c r="E118" s="11">
        <v>46212</v>
      </c>
      <c r="F118" s="5" t="s">
        <v>15</v>
      </c>
      <c r="G118" s="6" t="s">
        <v>230</v>
      </c>
      <c r="H118" s="6" t="s">
        <v>61</v>
      </c>
      <c r="I118" s="7" t="s">
        <v>49</v>
      </c>
      <c r="J118" s="4" t="str">
        <f>VLOOKUP(A118,[1]Auditoría!$A$2:$J$312,10,FALSE)</f>
        <v>Falta Material</v>
      </c>
      <c r="K118" s="5" t="s">
        <v>17</v>
      </c>
      <c r="L118" s="6" t="s">
        <v>29</v>
      </c>
      <c r="M118" s="6" t="s">
        <v>231</v>
      </c>
      <c r="N118" s="13">
        <v>46234</v>
      </c>
      <c r="O118" s="13">
        <v>46231</v>
      </c>
    </row>
    <row r="119" spans="1:15" x14ac:dyDescent="0.3">
      <c r="A119" s="5">
        <v>37410</v>
      </c>
      <c r="B119" s="5" t="s">
        <v>12</v>
      </c>
      <c r="C119" s="6" t="s">
        <v>13</v>
      </c>
      <c r="D119" s="5" t="s">
        <v>14</v>
      </c>
      <c r="E119" s="11">
        <v>46212</v>
      </c>
      <c r="F119" s="5" t="s">
        <v>15</v>
      </c>
      <c r="G119" s="6" t="s">
        <v>230</v>
      </c>
      <c r="H119" s="6" t="s">
        <v>61</v>
      </c>
      <c r="I119" s="7" t="s">
        <v>49</v>
      </c>
      <c r="J119" s="4" t="str">
        <f>VLOOKUP(A119,[1]Auditoría!$A$2:$J$312,10,FALSE)</f>
        <v>Falta Material</v>
      </c>
      <c r="K119" s="5" t="s">
        <v>17</v>
      </c>
      <c r="L119" s="6" t="s">
        <v>29</v>
      </c>
      <c r="M119" s="6" t="s">
        <v>231</v>
      </c>
      <c r="N119" s="13">
        <v>46234</v>
      </c>
      <c r="O119" s="13">
        <v>46231</v>
      </c>
    </row>
    <row r="120" spans="1:15" x14ac:dyDescent="0.3">
      <c r="A120" s="2">
        <v>37411</v>
      </c>
      <c r="B120" s="2" t="s">
        <v>12</v>
      </c>
      <c r="C120" s="3" t="s">
        <v>13</v>
      </c>
      <c r="D120" s="2" t="s">
        <v>14</v>
      </c>
      <c r="E120" s="11">
        <v>46212</v>
      </c>
      <c r="F120" s="2" t="s">
        <v>15</v>
      </c>
      <c r="G120" s="3" t="s">
        <v>391</v>
      </c>
      <c r="H120" s="3" t="s">
        <v>61</v>
      </c>
      <c r="I120" s="7" t="s">
        <v>49</v>
      </c>
      <c r="J120" s="4" t="str">
        <f>VLOOKUP(A120,[1]Auditoría!$A$2:$J$312,10,FALSE)</f>
        <v>Falta Material</v>
      </c>
      <c r="K120" s="2" t="s">
        <v>17</v>
      </c>
      <c r="L120" s="3" t="s">
        <v>29</v>
      </c>
      <c r="M120" s="3" t="s">
        <v>231</v>
      </c>
      <c r="N120" s="13">
        <v>46234</v>
      </c>
      <c r="O120" s="13">
        <v>46231</v>
      </c>
    </row>
    <row r="121" spans="1:15" x14ac:dyDescent="0.3">
      <c r="A121" s="5">
        <v>37411</v>
      </c>
      <c r="B121" s="5" t="s">
        <v>12</v>
      </c>
      <c r="C121" s="6" t="s">
        <v>13</v>
      </c>
      <c r="D121" s="5" t="s">
        <v>14</v>
      </c>
      <c r="E121" s="11">
        <v>46212</v>
      </c>
      <c r="F121" s="5" t="s">
        <v>15</v>
      </c>
      <c r="G121" s="6" t="s">
        <v>391</v>
      </c>
      <c r="H121" s="6" t="s">
        <v>61</v>
      </c>
      <c r="I121" s="7" t="s">
        <v>49</v>
      </c>
      <c r="J121" s="4" t="str">
        <f>VLOOKUP(A121,[1]Auditoría!$A$2:$J$312,10,FALSE)</f>
        <v>Falta Material</v>
      </c>
      <c r="K121" s="5" t="s">
        <v>17</v>
      </c>
      <c r="L121" s="6" t="s">
        <v>29</v>
      </c>
      <c r="M121" s="6" t="s">
        <v>231</v>
      </c>
      <c r="N121" s="13">
        <v>46234</v>
      </c>
      <c r="O121" s="13">
        <v>46231</v>
      </c>
    </row>
    <row r="122" spans="1:15" x14ac:dyDescent="0.3">
      <c r="A122" s="5">
        <v>37412</v>
      </c>
      <c r="B122" s="5" t="s">
        <v>12</v>
      </c>
      <c r="C122" s="6" t="s">
        <v>13</v>
      </c>
      <c r="D122" s="5" t="s">
        <v>14</v>
      </c>
      <c r="E122" s="11">
        <v>46212</v>
      </c>
      <c r="F122" s="5" t="s">
        <v>15</v>
      </c>
      <c r="G122" s="6" t="s">
        <v>102</v>
      </c>
      <c r="H122" s="6" t="s">
        <v>61</v>
      </c>
      <c r="I122" s="7" t="s">
        <v>49</v>
      </c>
      <c r="J122" s="4" t="str">
        <f>VLOOKUP(A122,[1]Auditoría!$A$2:$J$312,10,FALSE)</f>
        <v>Falta Material</v>
      </c>
      <c r="K122" s="5" t="s">
        <v>17</v>
      </c>
      <c r="L122" s="6" t="s">
        <v>29</v>
      </c>
      <c r="M122" s="6" t="s">
        <v>231</v>
      </c>
      <c r="N122" s="13">
        <v>46234</v>
      </c>
      <c r="O122" s="13">
        <v>46231</v>
      </c>
    </row>
    <row r="123" spans="1:15" x14ac:dyDescent="0.3">
      <c r="A123" s="2">
        <v>37149</v>
      </c>
      <c r="B123" s="2" t="s">
        <v>12</v>
      </c>
      <c r="C123" s="3" t="s">
        <v>13</v>
      </c>
      <c r="D123" s="2" t="s">
        <v>14</v>
      </c>
      <c r="E123" s="11">
        <v>46213</v>
      </c>
      <c r="F123" s="2" t="s">
        <v>15</v>
      </c>
      <c r="G123" s="3" t="s">
        <v>463</v>
      </c>
      <c r="H123" s="3" t="s">
        <v>464</v>
      </c>
      <c r="I123" s="4" t="s">
        <v>395</v>
      </c>
      <c r="J123" s="4" t="str">
        <f>VLOOKUP(A123,[1]Auditoría!$A$2:$J$312,10,FALSE)</f>
        <v>cargado</v>
      </c>
      <c r="K123" s="2" t="s">
        <v>17</v>
      </c>
      <c r="L123" s="3" t="s">
        <v>396</v>
      </c>
      <c r="M123" s="3" t="s">
        <v>465</v>
      </c>
      <c r="N123" s="13">
        <v>46234</v>
      </c>
      <c r="O123" s="13">
        <v>46231</v>
      </c>
    </row>
    <row r="124" spans="1:15" x14ac:dyDescent="0.3">
      <c r="A124" s="5">
        <v>37149</v>
      </c>
      <c r="B124" s="5" t="s">
        <v>12</v>
      </c>
      <c r="C124" s="6" t="s">
        <v>13</v>
      </c>
      <c r="D124" s="5" t="s">
        <v>14</v>
      </c>
      <c r="E124" s="11">
        <v>46213</v>
      </c>
      <c r="F124" s="5" t="s">
        <v>15</v>
      </c>
      <c r="G124" s="6" t="s">
        <v>463</v>
      </c>
      <c r="H124" s="6" t="s">
        <v>464</v>
      </c>
      <c r="I124" s="4" t="s">
        <v>243</v>
      </c>
      <c r="J124" s="4" t="str">
        <f>VLOOKUP(A124,[1]Auditoría!$A$2:$J$312,10,FALSE)</f>
        <v>cargado</v>
      </c>
      <c r="K124" s="5" t="s">
        <v>17</v>
      </c>
      <c r="L124" s="6" t="s">
        <v>55</v>
      </c>
      <c r="M124" s="6" t="s">
        <v>465</v>
      </c>
      <c r="N124" s="13">
        <v>46234</v>
      </c>
      <c r="O124" s="13">
        <v>46231</v>
      </c>
    </row>
    <row r="125" spans="1:15" x14ac:dyDescent="0.3">
      <c r="A125" s="2">
        <v>37149</v>
      </c>
      <c r="B125" s="2" t="s">
        <v>12</v>
      </c>
      <c r="C125" s="3" t="s">
        <v>13</v>
      </c>
      <c r="D125" s="2" t="s">
        <v>14</v>
      </c>
      <c r="E125" s="11">
        <v>46213</v>
      </c>
      <c r="F125" s="2" t="s">
        <v>15</v>
      </c>
      <c r="G125" s="3" t="s">
        <v>463</v>
      </c>
      <c r="H125" s="3" t="s">
        <v>464</v>
      </c>
      <c r="I125" s="4" t="s">
        <v>278</v>
      </c>
      <c r="J125" s="4" t="str">
        <f>VLOOKUP(A125,[1]Auditoría!$A$2:$J$312,10,FALSE)</f>
        <v>cargado</v>
      </c>
      <c r="K125" s="2" t="s">
        <v>17</v>
      </c>
      <c r="L125" s="3" t="s">
        <v>55</v>
      </c>
      <c r="M125" s="3" t="s">
        <v>465</v>
      </c>
      <c r="N125" s="13">
        <v>46234</v>
      </c>
      <c r="O125" s="13">
        <v>46231</v>
      </c>
    </row>
    <row r="126" spans="1:15" x14ac:dyDescent="0.3">
      <c r="A126" s="5">
        <v>37149</v>
      </c>
      <c r="B126" s="5" t="s">
        <v>12</v>
      </c>
      <c r="C126" s="6" t="s">
        <v>13</v>
      </c>
      <c r="D126" s="5" t="s">
        <v>14</v>
      </c>
      <c r="E126" s="11">
        <v>46213</v>
      </c>
      <c r="F126" s="5" t="s">
        <v>15</v>
      </c>
      <c r="G126" s="6" t="s">
        <v>463</v>
      </c>
      <c r="H126" s="6" t="s">
        <v>464</v>
      </c>
      <c r="I126" s="4" t="s">
        <v>539</v>
      </c>
      <c r="J126" s="4" t="str">
        <f>VLOOKUP(A126,[1]Auditoría!$A$2:$J$312,10,FALSE)</f>
        <v>cargado</v>
      </c>
      <c r="K126" s="5" t="s">
        <v>17</v>
      </c>
      <c r="L126" s="6" t="s">
        <v>111</v>
      </c>
      <c r="M126" s="6" t="s">
        <v>465</v>
      </c>
      <c r="N126" s="13">
        <v>46234</v>
      </c>
      <c r="O126" s="13">
        <v>46231</v>
      </c>
    </row>
    <row r="127" spans="1:15" x14ac:dyDescent="0.3">
      <c r="A127" s="2">
        <v>37149</v>
      </c>
      <c r="B127" s="2" t="s">
        <v>12</v>
      </c>
      <c r="C127" s="3" t="s">
        <v>13</v>
      </c>
      <c r="D127" s="2" t="s">
        <v>14</v>
      </c>
      <c r="E127" s="11">
        <v>46213</v>
      </c>
      <c r="F127" s="2" t="s">
        <v>15</v>
      </c>
      <c r="G127" s="3" t="s">
        <v>463</v>
      </c>
      <c r="H127" s="3" t="s">
        <v>464</v>
      </c>
      <c r="I127" s="4" t="s">
        <v>640</v>
      </c>
      <c r="J127" s="4" t="str">
        <f>VLOOKUP(A127,[1]Auditoría!$A$2:$J$312,10,FALSE)</f>
        <v>cargado</v>
      </c>
      <c r="K127" s="2" t="s">
        <v>17</v>
      </c>
      <c r="L127" s="3" t="s">
        <v>641</v>
      </c>
      <c r="M127" s="3" t="s">
        <v>465</v>
      </c>
      <c r="N127" s="13">
        <v>46234</v>
      </c>
      <c r="O127" s="13">
        <v>46231</v>
      </c>
    </row>
    <row r="128" spans="1:15" x14ac:dyDescent="0.3">
      <c r="A128" s="2">
        <v>37415</v>
      </c>
      <c r="B128" s="2" t="s">
        <v>12</v>
      </c>
      <c r="C128" s="3" t="s">
        <v>13</v>
      </c>
      <c r="D128" s="2" t="s">
        <v>14</v>
      </c>
      <c r="E128" s="11">
        <v>46213</v>
      </c>
      <c r="F128" s="2" t="s">
        <v>15</v>
      </c>
      <c r="G128" s="3" t="s">
        <v>232</v>
      </c>
      <c r="H128" s="3" t="s">
        <v>61</v>
      </c>
      <c r="I128" s="7" t="s">
        <v>100</v>
      </c>
      <c r="J128" s="4" t="s">
        <v>666</v>
      </c>
      <c r="K128" s="2" t="s">
        <v>23</v>
      </c>
      <c r="L128" s="3" t="s">
        <v>29</v>
      </c>
      <c r="M128" s="3" t="s">
        <v>233</v>
      </c>
      <c r="N128" s="13">
        <v>46234</v>
      </c>
      <c r="O128"/>
    </row>
    <row r="129" spans="1:16" x14ac:dyDescent="0.3">
      <c r="A129" s="5">
        <v>37416</v>
      </c>
      <c r="B129" s="5" t="s">
        <v>12</v>
      </c>
      <c r="C129" s="6" t="s">
        <v>13</v>
      </c>
      <c r="D129" s="5" t="s">
        <v>14</v>
      </c>
      <c r="E129" s="11">
        <v>46213</v>
      </c>
      <c r="F129" s="5" t="s">
        <v>15</v>
      </c>
      <c r="G129" s="6" t="s">
        <v>35</v>
      </c>
      <c r="H129" s="6" t="s">
        <v>36</v>
      </c>
      <c r="I129" s="7" t="s">
        <v>626</v>
      </c>
      <c r="J129" s="4" t="s">
        <v>666</v>
      </c>
      <c r="K129" s="5" t="s">
        <v>17</v>
      </c>
      <c r="L129" s="6" t="s">
        <v>29</v>
      </c>
      <c r="M129" s="6" t="s">
        <v>627</v>
      </c>
      <c r="N129" s="13">
        <v>46234</v>
      </c>
      <c r="O129"/>
    </row>
    <row r="130" spans="1:16" x14ac:dyDescent="0.3">
      <c r="A130" s="2">
        <v>37417</v>
      </c>
      <c r="B130" s="2" t="s">
        <v>12</v>
      </c>
      <c r="C130" s="3" t="s">
        <v>13</v>
      </c>
      <c r="D130" s="2" t="s">
        <v>14</v>
      </c>
      <c r="E130" s="11">
        <v>46213</v>
      </c>
      <c r="F130" s="2" t="s">
        <v>15</v>
      </c>
      <c r="G130" s="3" t="s">
        <v>573</v>
      </c>
      <c r="H130" s="3" t="s">
        <v>107</v>
      </c>
      <c r="I130" s="7" t="s">
        <v>135</v>
      </c>
      <c r="J130" s="4" t="s">
        <v>666</v>
      </c>
      <c r="K130" s="2" t="s">
        <v>17</v>
      </c>
      <c r="L130" s="3" t="s">
        <v>29</v>
      </c>
      <c r="M130" s="3" t="s">
        <v>574</v>
      </c>
      <c r="N130" s="13">
        <v>46234</v>
      </c>
      <c r="O130"/>
    </row>
    <row r="131" spans="1:16" x14ac:dyDescent="0.3">
      <c r="A131" s="2">
        <v>37417</v>
      </c>
      <c r="B131" s="2" t="s">
        <v>12</v>
      </c>
      <c r="C131" s="3" t="s">
        <v>13</v>
      </c>
      <c r="D131" s="2" t="s">
        <v>14</v>
      </c>
      <c r="E131" s="11">
        <v>46213</v>
      </c>
      <c r="F131" s="2" t="s">
        <v>15</v>
      </c>
      <c r="G131" s="3" t="s">
        <v>573</v>
      </c>
      <c r="H131" s="3" t="s">
        <v>107</v>
      </c>
      <c r="I131" s="7" t="s">
        <v>135</v>
      </c>
      <c r="J131" s="4" t="s">
        <v>666</v>
      </c>
      <c r="K131" s="2" t="s">
        <v>17</v>
      </c>
      <c r="L131" s="3" t="s">
        <v>29</v>
      </c>
      <c r="M131" s="3" t="s">
        <v>574</v>
      </c>
      <c r="N131" s="13">
        <v>46234</v>
      </c>
      <c r="O131"/>
    </row>
    <row r="132" spans="1:16" ht="43.2" x14ac:dyDescent="0.3">
      <c r="A132" s="21">
        <v>37216</v>
      </c>
      <c r="B132" s="21" t="s">
        <v>12</v>
      </c>
      <c r="C132" s="22" t="s">
        <v>13</v>
      </c>
      <c r="D132" s="21" t="s">
        <v>14</v>
      </c>
      <c r="E132" s="23">
        <v>46215</v>
      </c>
      <c r="F132" s="21" t="s">
        <v>15</v>
      </c>
      <c r="G132" s="22" t="s">
        <v>201</v>
      </c>
      <c r="H132" s="22" t="s">
        <v>21</v>
      </c>
      <c r="I132" s="4" t="s">
        <v>202</v>
      </c>
      <c r="J132" s="4" t="s">
        <v>668</v>
      </c>
      <c r="K132" s="2" t="s">
        <v>17</v>
      </c>
      <c r="L132" s="3" t="s">
        <v>59</v>
      </c>
      <c r="M132" s="19" t="s">
        <v>203</v>
      </c>
      <c r="N132" s="13">
        <v>46234</v>
      </c>
      <c r="O132"/>
    </row>
    <row r="133" spans="1:16" ht="43.2" x14ac:dyDescent="0.3">
      <c r="A133" s="21">
        <v>37216</v>
      </c>
      <c r="B133" s="21" t="s">
        <v>12</v>
      </c>
      <c r="C133" s="22" t="s">
        <v>13</v>
      </c>
      <c r="D133" s="21" t="s">
        <v>14</v>
      </c>
      <c r="E133" s="23">
        <v>46215</v>
      </c>
      <c r="F133" s="21" t="s">
        <v>15</v>
      </c>
      <c r="G133" s="22" t="s">
        <v>201</v>
      </c>
      <c r="H133" s="22" t="s">
        <v>21</v>
      </c>
      <c r="I133" s="4" t="s">
        <v>566</v>
      </c>
      <c r="J133" s="4" t="s">
        <v>668</v>
      </c>
      <c r="K133" s="2" t="s">
        <v>17</v>
      </c>
      <c r="L133" s="3" t="s">
        <v>59</v>
      </c>
      <c r="M133" s="19" t="s">
        <v>203</v>
      </c>
      <c r="N133" s="13">
        <v>46234</v>
      </c>
      <c r="O133"/>
    </row>
    <row r="134" spans="1:16" x14ac:dyDescent="0.3">
      <c r="A134" s="5">
        <v>37217</v>
      </c>
      <c r="B134" s="5" t="s">
        <v>18</v>
      </c>
      <c r="C134" s="6" t="s">
        <v>13</v>
      </c>
      <c r="D134" s="5" t="s">
        <v>14</v>
      </c>
      <c r="E134" s="11">
        <v>46215</v>
      </c>
      <c r="F134" s="5" t="s">
        <v>15</v>
      </c>
      <c r="G134" s="6" t="s">
        <v>201</v>
      </c>
      <c r="H134" s="6" t="s">
        <v>21</v>
      </c>
      <c r="I134" s="7" t="s">
        <v>42</v>
      </c>
      <c r="J134" s="4" t="s">
        <v>666</v>
      </c>
      <c r="K134" s="5" t="s">
        <v>17</v>
      </c>
      <c r="L134" s="6" t="s">
        <v>29</v>
      </c>
      <c r="M134" s="6" t="s">
        <v>204</v>
      </c>
      <c r="N134" s="13">
        <v>46234</v>
      </c>
      <c r="O134"/>
    </row>
    <row r="135" spans="1:16" x14ac:dyDescent="0.3">
      <c r="A135" s="2">
        <v>37219</v>
      </c>
      <c r="B135" s="2" t="s">
        <v>18</v>
      </c>
      <c r="C135" s="3" t="s">
        <v>13</v>
      </c>
      <c r="D135" s="2" t="s">
        <v>14</v>
      </c>
      <c r="E135" s="11">
        <v>46215</v>
      </c>
      <c r="F135" s="2" t="s">
        <v>15</v>
      </c>
      <c r="G135" s="3" t="s">
        <v>201</v>
      </c>
      <c r="H135" s="3" t="s">
        <v>21</v>
      </c>
      <c r="I135" s="7" t="s">
        <v>205</v>
      </c>
      <c r="J135" s="4" t="s">
        <v>666</v>
      </c>
      <c r="K135" s="2" t="s">
        <v>17</v>
      </c>
      <c r="L135" s="3" t="s">
        <v>29</v>
      </c>
      <c r="M135" s="3" t="s">
        <v>206</v>
      </c>
      <c r="N135" s="13">
        <v>46234</v>
      </c>
      <c r="O135"/>
    </row>
    <row r="136" spans="1:16" ht="57.6" x14ac:dyDescent="0.3">
      <c r="A136" s="21">
        <v>37247</v>
      </c>
      <c r="B136" s="21" t="s">
        <v>12</v>
      </c>
      <c r="C136" s="22" t="s">
        <v>13</v>
      </c>
      <c r="D136" s="21" t="s">
        <v>14</v>
      </c>
      <c r="E136" s="23">
        <v>46215</v>
      </c>
      <c r="F136" s="21" t="s">
        <v>15</v>
      </c>
      <c r="G136" s="22" t="s">
        <v>207</v>
      </c>
      <c r="H136" s="22" t="s">
        <v>61</v>
      </c>
      <c r="I136" s="4" t="s">
        <v>124</v>
      </c>
      <c r="J136" s="4" t="s">
        <v>667</v>
      </c>
      <c r="K136" s="5" t="s">
        <v>17</v>
      </c>
      <c r="L136" s="6" t="s">
        <v>125</v>
      </c>
      <c r="M136" s="18" t="s">
        <v>208</v>
      </c>
      <c r="N136" s="13">
        <v>46234</v>
      </c>
      <c r="O136"/>
      <c r="P136" t="s">
        <v>664</v>
      </c>
    </row>
    <row r="137" spans="1:16" ht="28.8" x14ac:dyDescent="0.3">
      <c r="A137" s="21">
        <v>37250</v>
      </c>
      <c r="B137" s="21" t="s">
        <v>18</v>
      </c>
      <c r="C137" s="22" t="s">
        <v>13</v>
      </c>
      <c r="D137" s="21" t="s">
        <v>14</v>
      </c>
      <c r="E137" s="23">
        <v>46215</v>
      </c>
      <c r="F137" s="21" t="s">
        <v>15</v>
      </c>
      <c r="G137" s="22" t="s">
        <v>520</v>
      </c>
      <c r="H137" s="22" t="s">
        <v>351</v>
      </c>
      <c r="I137" s="4" t="s">
        <v>42</v>
      </c>
      <c r="J137" s="4" t="s">
        <v>667</v>
      </c>
      <c r="K137" s="2" t="s">
        <v>17</v>
      </c>
      <c r="L137" s="3" t="s">
        <v>670</v>
      </c>
      <c r="M137" s="19" t="s">
        <v>521</v>
      </c>
      <c r="N137" s="13">
        <v>46234</v>
      </c>
      <c r="O137"/>
      <c r="P137" t="s">
        <v>664</v>
      </c>
    </row>
    <row r="138" spans="1:16" x14ac:dyDescent="0.3">
      <c r="A138" s="5">
        <v>37262</v>
      </c>
      <c r="B138" s="5" t="s">
        <v>12</v>
      </c>
      <c r="C138" s="6" t="s">
        <v>39</v>
      </c>
      <c r="D138" s="5" t="s">
        <v>14</v>
      </c>
      <c r="E138" s="11">
        <v>46215</v>
      </c>
      <c r="F138" s="5" t="s">
        <v>15</v>
      </c>
      <c r="G138" s="6" t="s">
        <v>522</v>
      </c>
      <c r="H138" s="6" t="s">
        <v>21</v>
      </c>
      <c r="I138" s="4" t="s">
        <v>469</v>
      </c>
      <c r="J138" s="4" t="str">
        <f>VLOOKUP(A138,[1]Auditoría!$A$2:$J$312,10,FALSE)</f>
        <v>OK Contabilizar</v>
      </c>
      <c r="K138" s="5" t="s">
        <v>17</v>
      </c>
      <c r="L138" s="6" t="s">
        <v>470</v>
      </c>
      <c r="M138" s="6" t="s">
        <v>523</v>
      </c>
      <c r="N138" s="13">
        <v>46234</v>
      </c>
      <c r="O138" s="13">
        <v>46231</v>
      </c>
      <c r="P138" t="s">
        <v>664</v>
      </c>
    </row>
    <row r="139" spans="1:16" x14ac:dyDescent="0.3">
      <c r="A139" s="2">
        <v>37400</v>
      </c>
      <c r="B139" s="2" t="s">
        <v>12</v>
      </c>
      <c r="C139" s="3" t="s">
        <v>13</v>
      </c>
      <c r="D139" s="2" t="s">
        <v>14</v>
      </c>
      <c r="E139" s="11">
        <v>46215</v>
      </c>
      <c r="F139" s="2" t="s">
        <v>15</v>
      </c>
      <c r="G139" s="3" t="s">
        <v>303</v>
      </c>
      <c r="H139" s="3" t="s">
        <v>63</v>
      </c>
      <c r="I139" s="7" t="s">
        <v>165</v>
      </c>
      <c r="J139" s="4" t="s">
        <v>666</v>
      </c>
      <c r="K139" s="2" t="s">
        <v>17</v>
      </c>
      <c r="L139" s="3" t="s">
        <v>29</v>
      </c>
      <c r="M139" s="3" t="s">
        <v>229</v>
      </c>
      <c r="N139" s="13">
        <v>46234</v>
      </c>
      <c r="O139"/>
    </row>
    <row r="140" spans="1:16" x14ac:dyDescent="0.3">
      <c r="A140" s="2">
        <v>37405</v>
      </c>
      <c r="B140" s="2" t="s">
        <v>12</v>
      </c>
      <c r="C140" s="3" t="s">
        <v>13</v>
      </c>
      <c r="D140" s="2" t="s">
        <v>14</v>
      </c>
      <c r="E140" s="11">
        <v>46215</v>
      </c>
      <c r="F140" s="2" t="s">
        <v>15</v>
      </c>
      <c r="G140" s="3" t="s">
        <v>227</v>
      </c>
      <c r="H140" s="3" t="s">
        <v>63</v>
      </c>
      <c r="I140" s="7" t="s">
        <v>228</v>
      </c>
      <c r="J140" s="4" t="s">
        <v>666</v>
      </c>
      <c r="K140" s="2" t="s">
        <v>17</v>
      </c>
      <c r="L140" s="3" t="s">
        <v>29</v>
      </c>
      <c r="M140" s="3" t="s">
        <v>229</v>
      </c>
      <c r="N140" s="13">
        <v>46234</v>
      </c>
      <c r="O140"/>
    </row>
    <row r="141" spans="1:16" x14ac:dyDescent="0.3">
      <c r="A141" s="5">
        <v>37562</v>
      </c>
      <c r="B141" s="5" t="s">
        <v>12</v>
      </c>
      <c r="C141" s="6" t="s">
        <v>13</v>
      </c>
      <c r="D141" s="5" t="s">
        <v>14</v>
      </c>
      <c r="E141" s="11">
        <v>46215</v>
      </c>
      <c r="F141" s="5" t="s">
        <v>15</v>
      </c>
      <c r="G141" s="6" t="s">
        <v>359</v>
      </c>
      <c r="H141" s="6" t="s">
        <v>16</v>
      </c>
      <c r="I141" s="7" t="s">
        <v>165</v>
      </c>
      <c r="J141" s="4" t="s">
        <v>666</v>
      </c>
      <c r="K141" s="5" t="s">
        <v>23</v>
      </c>
      <c r="L141" s="6" t="s">
        <v>29</v>
      </c>
      <c r="M141" s="6" t="s">
        <v>166</v>
      </c>
      <c r="N141" s="13">
        <v>46234</v>
      </c>
      <c r="O141"/>
    </row>
    <row r="142" spans="1:16" ht="28.8" x14ac:dyDescent="0.3">
      <c r="A142" s="21">
        <v>37256</v>
      </c>
      <c r="B142" s="21" t="s">
        <v>18</v>
      </c>
      <c r="C142" s="22" t="s">
        <v>19</v>
      </c>
      <c r="D142" s="21" t="s">
        <v>14</v>
      </c>
      <c r="E142" s="23">
        <v>46216</v>
      </c>
      <c r="F142" s="21" t="s">
        <v>15</v>
      </c>
      <c r="G142" s="22" t="s">
        <v>209</v>
      </c>
      <c r="H142" s="22" t="s">
        <v>159</v>
      </c>
      <c r="I142" s="4" t="s">
        <v>42</v>
      </c>
      <c r="J142" s="4" t="s">
        <v>667</v>
      </c>
      <c r="K142" s="5" t="s">
        <v>17</v>
      </c>
      <c r="L142" s="3" t="s">
        <v>670</v>
      </c>
      <c r="M142" s="18" t="s">
        <v>356</v>
      </c>
      <c r="N142" s="13">
        <v>46234</v>
      </c>
      <c r="O142"/>
      <c r="P142" t="s">
        <v>664</v>
      </c>
    </row>
    <row r="143" spans="1:16" ht="57.6" x14ac:dyDescent="0.3">
      <c r="A143" s="21">
        <v>37264</v>
      </c>
      <c r="B143" s="21" t="s">
        <v>12</v>
      </c>
      <c r="C143" s="22" t="s">
        <v>19</v>
      </c>
      <c r="D143" s="21" t="s">
        <v>14</v>
      </c>
      <c r="E143" s="23">
        <v>46216</v>
      </c>
      <c r="F143" s="21" t="s">
        <v>15</v>
      </c>
      <c r="G143" s="22" t="s">
        <v>209</v>
      </c>
      <c r="H143" s="22" t="s">
        <v>159</v>
      </c>
      <c r="I143" s="4" t="s">
        <v>210</v>
      </c>
      <c r="J143" s="4" t="s">
        <v>668</v>
      </c>
      <c r="K143" s="2" t="s">
        <v>17</v>
      </c>
      <c r="L143" s="3" t="s">
        <v>211</v>
      </c>
      <c r="M143" s="19" t="s">
        <v>212</v>
      </c>
      <c r="N143" s="13">
        <v>46234</v>
      </c>
      <c r="O143"/>
    </row>
    <row r="144" spans="1:16" x14ac:dyDescent="0.3">
      <c r="A144" s="2">
        <v>37267</v>
      </c>
      <c r="B144" s="2" t="s">
        <v>12</v>
      </c>
      <c r="C144" s="3" t="s">
        <v>13</v>
      </c>
      <c r="D144" s="2" t="s">
        <v>14</v>
      </c>
      <c r="E144" s="11">
        <v>46216</v>
      </c>
      <c r="F144" s="2" t="s">
        <v>15</v>
      </c>
      <c r="G144" s="3" t="s">
        <v>319</v>
      </c>
      <c r="H144" s="3" t="s">
        <v>21</v>
      </c>
      <c r="I144" s="4" t="s">
        <v>320</v>
      </c>
      <c r="J144" s="4" t="str">
        <f>VLOOKUP(A144,[1]Auditoría!$A$2:$J$312,10,FALSE)</f>
        <v>Falta Material</v>
      </c>
      <c r="K144" s="2" t="s">
        <v>17</v>
      </c>
      <c r="L144" s="3" t="s">
        <v>321</v>
      </c>
      <c r="M144" s="3" t="s">
        <v>322</v>
      </c>
      <c r="N144" s="13">
        <v>46234</v>
      </c>
      <c r="O144" s="13">
        <v>46231</v>
      </c>
    </row>
    <row r="145" spans="1:16" x14ac:dyDescent="0.3">
      <c r="A145" s="5">
        <v>37267</v>
      </c>
      <c r="B145" s="5" t="s">
        <v>12</v>
      </c>
      <c r="C145" s="6" t="s">
        <v>13</v>
      </c>
      <c r="D145" s="5" t="s">
        <v>14</v>
      </c>
      <c r="E145" s="11">
        <v>46216</v>
      </c>
      <c r="F145" s="5" t="s">
        <v>15</v>
      </c>
      <c r="G145" s="6" t="s">
        <v>319</v>
      </c>
      <c r="H145" s="6" t="s">
        <v>21</v>
      </c>
      <c r="I145" s="4" t="s">
        <v>431</v>
      </c>
      <c r="J145" s="4" t="str">
        <f>VLOOKUP(A145,[1]Auditoría!$A$2:$J$312,10,FALSE)</f>
        <v>Falta Material</v>
      </c>
      <c r="K145" s="5" t="s">
        <v>17</v>
      </c>
      <c r="L145" s="6" t="s">
        <v>432</v>
      </c>
      <c r="M145" s="6" t="s">
        <v>322</v>
      </c>
      <c r="N145" s="13">
        <v>46234</v>
      </c>
      <c r="O145" s="13">
        <v>46231</v>
      </c>
    </row>
    <row r="146" spans="1:16" x14ac:dyDescent="0.3">
      <c r="A146" s="2">
        <v>37267</v>
      </c>
      <c r="B146" s="2" t="s">
        <v>12</v>
      </c>
      <c r="C146" s="3" t="s">
        <v>13</v>
      </c>
      <c r="D146" s="2" t="s">
        <v>14</v>
      </c>
      <c r="E146" s="11">
        <v>46216</v>
      </c>
      <c r="F146" s="2" t="s">
        <v>15</v>
      </c>
      <c r="G146" s="3" t="s">
        <v>319</v>
      </c>
      <c r="H146" s="3" t="s">
        <v>21</v>
      </c>
      <c r="I146" s="4" t="s">
        <v>95</v>
      </c>
      <c r="J146" s="4" t="str">
        <f>VLOOKUP(A146,[1]Auditoría!$A$2:$J$312,10,FALSE)</f>
        <v>Falta Material</v>
      </c>
      <c r="K146" s="2" t="s">
        <v>17</v>
      </c>
      <c r="L146" s="3" t="s">
        <v>506</v>
      </c>
      <c r="M146" s="3" t="s">
        <v>322</v>
      </c>
      <c r="N146" s="13">
        <v>46234</v>
      </c>
      <c r="O146" s="13">
        <v>46231</v>
      </c>
    </row>
    <row r="147" spans="1:16" x14ac:dyDescent="0.3">
      <c r="A147" s="5">
        <v>37267</v>
      </c>
      <c r="B147" s="5" t="s">
        <v>12</v>
      </c>
      <c r="C147" s="6" t="s">
        <v>13</v>
      </c>
      <c r="D147" s="5" t="s">
        <v>14</v>
      </c>
      <c r="E147" s="11">
        <v>46216</v>
      </c>
      <c r="F147" s="5" t="s">
        <v>15</v>
      </c>
      <c r="G147" s="6" t="s">
        <v>319</v>
      </c>
      <c r="H147" s="6" t="s">
        <v>21</v>
      </c>
      <c r="I147" s="4" t="s">
        <v>610</v>
      </c>
      <c r="J147" s="4" t="str">
        <f>VLOOKUP(A147,[1]Auditoría!$A$2:$J$312,10,FALSE)</f>
        <v>Falta Material</v>
      </c>
      <c r="K147" s="5" t="s">
        <v>17</v>
      </c>
      <c r="L147" s="6" t="s">
        <v>611</v>
      </c>
      <c r="M147" s="6" t="s">
        <v>322</v>
      </c>
      <c r="N147" s="13">
        <v>46234</v>
      </c>
      <c r="O147" s="13">
        <v>46231</v>
      </c>
    </row>
    <row r="148" spans="1:16" x14ac:dyDescent="0.3">
      <c r="A148" s="2">
        <v>37267</v>
      </c>
      <c r="B148" s="2" t="s">
        <v>12</v>
      </c>
      <c r="C148" s="3" t="s">
        <v>13</v>
      </c>
      <c r="D148" s="2" t="s">
        <v>14</v>
      </c>
      <c r="E148" s="11">
        <v>46216</v>
      </c>
      <c r="F148" s="2" t="s">
        <v>15</v>
      </c>
      <c r="G148" s="3" t="s">
        <v>319</v>
      </c>
      <c r="H148" s="3" t="s">
        <v>21</v>
      </c>
      <c r="I148" s="4" t="s">
        <v>612</v>
      </c>
      <c r="J148" s="4" t="str">
        <f>VLOOKUP(A148,[1]Auditoría!$A$2:$J$312,10,FALSE)</f>
        <v>Falta Material</v>
      </c>
      <c r="K148" s="2" t="s">
        <v>17</v>
      </c>
      <c r="L148" s="3" t="s">
        <v>613</v>
      </c>
      <c r="M148" s="3" t="s">
        <v>322</v>
      </c>
      <c r="N148" s="13">
        <v>46234</v>
      </c>
      <c r="O148" s="13">
        <v>46231</v>
      </c>
    </row>
    <row r="149" spans="1:16" ht="43.2" x14ac:dyDescent="0.3">
      <c r="A149" s="21">
        <v>37276</v>
      </c>
      <c r="B149" s="21" t="s">
        <v>12</v>
      </c>
      <c r="C149" s="22" t="s">
        <v>13</v>
      </c>
      <c r="D149" s="21" t="s">
        <v>14</v>
      </c>
      <c r="E149" s="23">
        <v>46216</v>
      </c>
      <c r="F149" s="21" t="s">
        <v>15</v>
      </c>
      <c r="G149" s="22" t="s">
        <v>213</v>
      </c>
      <c r="H149" s="22" t="s">
        <v>61</v>
      </c>
      <c r="I149" s="4" t="s">
        <v>214</v>
      </c>
      <c r="J149" s="4" t="s">
        <v>667</v>
      </c>
      <c r="K149" s="5" t="s">
        <v>17</v>
      </c>
      <c r="L149" s="6" t="s">
        <v>671</v>
      </c>
      <c r="M149" s="18" t="s">
        <v>216</v>
      </c>
      <c r="N149" s="13">
        <v>46234</v>
      </c>
      <c r="O149"/>
      <c r="P149" t="s">
        <v>664</v>
      </c>
    </row>
    <row r="150" spans="1:16" ht="72" x14ac:dyDescent="0.3">
      <c r="A150" s="21">
        <v>37278</v>
      </c>
      <c r="B150" s="21" t="s">
        <v>12</v>
      </c>
      <c r="C150" s="22" t="s">
        <v>13</v>
      </c>
      <c r="D150" s="21" t="s">
        <v>14</v>
      </c>
      <c r="E150" s="23">
        <v>46216</v>
      </c>
      <c r="F150" s="21" t="s">
        <v>15</v>
      </c>
      <c r="G150" s="22" t="s">
        <v>567</v>
      </c>
      <c r="H150" s="22" t="s">
        <v>61</v>
      </c>
      <c r="I150" s="4" t="s">
        <v>568</v>
      </c>
      <c r="J150" s="4" t="s">
        <v>667</v>
      </c>
      <c r="K150" s="5" t="s">
        <v>17</v>
      </c>
      <c r="L150" s="6" t="s">
        <v>383</v>
      </c>
      <c r="M150" s="18" t="s">
        <v>569</v>
      </c>
      <c r="N150" s="13">
        <v>46234</v>
      </c>
      <c r="O150"/>
      <c r="P150" t="s">
        <v>664</v>
      </c>
    </row>
    <row r="151" spans="1:16" ht="28.8" x14ac:dyDescent="0.3">
      <c r="A151" s="21">
        <v>37280</v>
      </c>
      <c r="B151" s="21" t="s">
        <v>12</v>
      </c>
      <c r="C151" s="22" t="s">
        <v>13</v>
      </c>
      <c r="D151" s="21" t="s">
        <v>14</v>
      </c>
      <c r="E151" s="23">
        <v>46216</v>
      </c>
      <c r="F151" s="21" t="s">
        <v>15</v>
      </c>
      <c r="G151" s="22" t="s">
        <v>140</v>
      </c>
      <c r="H151" s="22" t="s">
        <v>63</v>
      </c>
      <c r="I151" s="4" t="s">
        <v>623</v>
      </c>
      <c r="J151" s="4" t="s">
        <v>668</v>
      </c>
      <c r="K151" s="5" t="s">
        <v>17</v>
      </c>
      <c r="L151" s="6" t="s">
        <v>55</v>
      </c>
      <c r="M151" s="18" t="s">
        <v>624</v>
      </c>
      <c r="N151" s="13">
        <v>46234</v>
      </c>
      <c r="O151"/>
    </row>
    <row r="152" spans="1:16" x14ac:dyDescent="0.3">
      <c r="A152" s="2">
        <v>37281</v>
      </c>
      <c r="B152" s="2" t="s">
        <v>12</v>
      </c>
      <c r="C152" s="3" t="s">
        <v>13</v>
      </c>
      <c r="D152" s="2" t="s">
        <v>14</v>
      </c>
      <c r="E152" s="11">
        <v>46216</v>
      </c>
      <c r="F152" s="16"/>
      <c r="G152" s="3" t="s">
        <v>234</v>
      </c>
      <c r="H152" s="3" t="s">
        <v>235</v>
      </c>
      <c r="I152" s="8" t="s">
        <v>357</v>
      </c>
      <c r="J152" s="4" t="str">
        <f>VLOOKUP(A152,[1]Auditoría!$A$2:$J$312,10,FALSE)</f>
        <v>No invetariado, Contabilizar</v>
      </c>
      <c r="K152" s="2" t="s">
        <v>17</v>
      </c>
      <c r="L152" s="3" t="s">
        <v>50</v>
      </c>
      <c r="M152" s="3" t="s">
        <v>51</v>
      </c>
      <c r="N152" s="13">
        <v>46234</v>
      </c>
      <c r="O152" s="13">
        <v>46231</v>
      </c>
      <c r="P152" t="s">
        <v>664</v>
      </c>
    </row>
    <row r="153" spans="1:16" ht="43.2" x14ac:dyDescent="0.3">
      <c r="A153" s="21">
        <v>37283</v>
      </c>
      <c r="B153" s="21" t="s">
        <v>18</v>
      </c>
      <c r="C153" s="22" t="s">
        <v>13</v>
      </c>
      <c r="D153" s="21" t="s">
        <v>14</v>
      </c>
      <c r="E153" s="23">
        <v>46216</v>
      </c>
      <c r="F153" s="21" t="s">
        <v>15</v>
      </c>
      <c r="G153" s="22" t="s">
        <v>447</v>
      </c>
      <c r="H153" s="22" t="s">
        <v>448</v>
      </c>
      <c r="I153" s="4" t="s">
        <v>42</v>
      </c>
      <c r="J153" s="4" t="s">
        <v>667</v>
      </c>
      <c r="K153" s="5" t="s">
        <v>17</v>
      </c>
      <c r="L153" s="3" t="s">
        <v>670</v>
      </c>
      <c r="M153" s="18" t="s">
        <v>132</v>
      </c>
      <c r="N153" s="13">
        <v>46234</v>
      </c>
      <c r="O153"/>
      <c r="P153" t="s">
        <v>672</v>
      </c>
    </row>
    <row r="154" spans="1:16" x14ac:dyDescent="0.3">
      <c r="A154" s="2">
        <v>37296</v>
      </c>
      <c r="B154" s="2" t="s">
        <v>12</v>
      </c>
      <c r="C154" s="3" t="s">
        <v>39</v>
      </c>
      <c r="D154" s="2" t="s">
        <v>14</v>
      </c>
      <c r="E154" s="11">
        <v>46216</v>
      </c>
      <c r="F154" s="2" t="s">
        <v>15</v>
      </c>
      <c r="G154" s="3" t="s">
        <v>404</v>
      </c>
      <c r="H154" s="3" t="s">
        <v>153</v>
      </c>
      <c r="I154" s="8" t="s">
        <v>449</v>
      </c>
      <c r="J154" s="4" t="str">
        <f>VLOOKUP(A154,[1]Auditoría!$A$2:$J$312,10,FALSE)</f>
        <v>Falta Material</v>
      </c>
      <c r="K154" s="2" t="s">
        <v>17</v>
      </c>
      <c r="L154" s="3" t="s">
        <v>50</v>
      </c>
      <c r="M154" s="3" t="s">
        <v>51</v>
      </c>
      <c r="N154" s="13">
        <v>46234</v>
      </c>
      <c r="O154" s="13">
        <v>46231</v>
      </c>
    </row>
    <row r="155" spans="1:16" x14ac:dyDescent="0.3">
      <c r="A155" s="5">
        <v>37296</v>
      </c>
      <c r="B155" s="5" t="s">
        <v>12</v>
      </c>
      <c r="C155" s="6" t="s">
        <v>39</v>
      </c>
      <c r="D155" s="5" t="s">
        <v>14</v>
      </c>
      <c r="E155" s="11">
        <v>46216</v>
      </c>
      <c r="F155" s="5" t="s">
        <v>15</v>
      </c>
      <c r="G155" s="6" t="s">
        <v>404</v>
      </c>
      <c r="H155" s="6" t="s">
        <v>153</v>
      </c>
      <c r="I155" s="8" t="s">
        <v>450</v>
      </c>
      <c r="J155" s="4" t="str">
        <f>VLOOKUP(A155,[1]Auditoría!$A$2:$J$312,10,FALSE)</f>
        <v>Falta Material</v>
      </c>
      <c r="K155" s="5" t="s">
        <v>17</v>
      </c>
      <c r="L155" s="6" t="s">
        <v>50</v>
      </c>
      <c r="M155" s="6" t="s">
        <v>51</v>
      </c>
      <c r="N155" s="13">
        <v>46234</v>
      </c>
      <c r="O155" s="13">
        <v>46231</v>
      </c>
    </row>
    <row r="156" spans="1:16" x14ac:dyDescent="0.3">
      <c r="A156" s="5">
        <v>37581</v>
      </c>
      <c r="B156" s="5" t="s">
        <v>12</v>
      </c>
      <c r="C156" s="6" t="s">
        <v>13</v>
      </c>
      <c r="D156" s="5" t="s">
        <v>14</v>
      </c>
      <c r="E156" s="11">
        <v>46216</v>
      </c>
      <c r="F156" s="5" t="s">
        <v>15</v>
      </c>
      <c r="G156" s="6" t="s">
        <v>359</v>
      </c>
      <c r="H156" s="6" t="s">
        <v>16</v>
      </c>
      <c r="I156" s="7" t="s">
        <v>97</v>
      </c>
      <c r="J156" s="4" t="s">
        <v>666</v>
      </c>
      <c r="K156" s="5" t="s">
        <v>23</v>
      </c>
      <c r="L156" s="6" t="s">
        <v>29</v>
      </c>
      <c r="M156" s="6" t="s">
        <v>554</v>
      </c>
      <c r="N156" s="13">
        <v>46234</v>
      </c>
      <c r="O156"/>
    </row>
    <row r="157" spans="1:16" x14ac:dyDescent="0.3">
      <c r="A157" s="2">
        <v>37581</v>
      </c>
      <c r="B157" s="2" t="s">
        <v>12</v>
      </c>
      <c r="C157" s="3" t="s">
        <v>13</v>
      </c>
      <c r="D157" s="2" t="s">
        <v>14</v>
      </c>
      <c r="E157" s="11">
        <v>46216</v>
      </c>
      <c r="F157" s="2" t="s">
        <v>15</v>
      </c>
      <c r="G157" s="3" t="s">
        <v>359</v>
      </c>
      <c r="H157" s="3" t="s">
        <v>16</v>
      </c>
      <c r="I157" s="7" t="s">
        <v>28</v>
      </c>
      <c r="J157" s="4" t="s">
        <v>666</v>
      </c>
      <c r="K157" s="2" t="s">
        <v>23</v>
      </c>
      <c r="L157" s="3" t="s">
        <v>29</v>
      </c>
      <c r="M157" s="3" t="s">
        <v>554</v>
      </c>
      <c r="N157" s="13">
        <v>46234</v>
      </c>
      <c r="O157"/>
    </row>
    <row r="158" spans="1:16" x14ac:dyDescent="0.3">
      <c r="A158" s="21">
        <v>37702</v>
      </c>
      <c r="B158" s="21" t="s">
        <v>12</v>
      </c>
      <c r="C158" s="22" t="s">
        <v>13</v>
      </c>
      <c r="D158" s="21" t="s">
        <v>14</v>
      </c>
      <c r="E158" s="23">
        <v>46216</v>
      </c>
      <c r="F158" s="21" t="s">
        <v>15</v>
      </c>
      <c r="G158" s="22" t="s">
        <v>197</v>
      </c>
      <c r="H158" s="22" t="s">
        <v>91</v>
      </c>
      <c r="I158" s="8" t="s">
        <v>304</v>
      </c>
      <c r="J158" s="4" t="s">
        <v>673</v>
      </c>
      <c r="K158" s="5" t="s">
        <v>23</v>
      </c>
      <c r="L158" s="6" t="s">
        <v>50</v>
      </c>
      <c r="M158" s="18" t="s">
        <v>51</v>
      </c>
      <c r="N158" s="13">
        <v>46234</v>
      </c>
      <c r="O158"/>
    </row>
    <row r="159" spans="1:16" x14ac:dyDescent="0.3">
      <c r="A159" s="5">
        <v>37716</v>
      </c>
      <c r="B159" s="5" t="s">
        <v>12</v>
      </c>
      <c r="C159" s="6" t="s">
        <v>13</v>
      </c>
      <c r="D159" s="5" t="s">
        <v>14</v>
      </c>
      <c r="E159" s="11">
        <v>46216</v>
      </c>
      <c r="F159" s="5" t="s">
        <v>15</v>
      </c>
      <c r="G159" s="6" t="s">
        <v>388</v>
      </c>
      <c r="H159" s="6" t="s">
        <v>32</v>
      </c>
      <c r="I159" s="7" t="s">
        <v>389</v>
      </c>
      <c r="J159" s="4" t="s">
        <v>666</v>
      </c>
      <c r="K159" s="5" t="s">
        <v>23</v>
      </c>
      <c r="L159" s="6" t="s">
        <v>29</v>
      </c>
      <c r="M159" s="6" t="s">
        <v>390</v>
      </c>
      <c r="N159" s="13">
        <v>46234</v>
      </c>
      <c r="O159"/>
    </row>
    <row r="160" spans="1:16" x14ac:dyDescent="0.3">
      <c r="A160" s="5">
        <v>37716</v>
      </c>
      <c r="B160" s="5" t="s">
        <v>12</v>
      </c>
      <c r="C160" s="6" t="s">
        <v>13</v>
      </c>
      <c r="D160" s="5" t="s">
        <v>14</v>
      </c>
      <c r="E160" s="11">
        <v>46216</v>
      </c>
      <c r="F160" s="5" t="s">
        <v>15</v>
      </c>
      <c r="G160" s="6" t="s">
        <v>388</v>
      </c>
      <c r="H160" s="6" t="s">
        <v>32</v>
      </c>
      <c r="I160" s="7" t="s">
        <v>28</v>
      </c>
      <c r="J160" s="4" t="s">
        <v>666</v>
      </c>
      <c r="K160" s="5" t="s">
        <v>23</v>
      </c>
      <c r="L160" s="6" t="s">
        <v>29</v>
      </c>
      <c r="M160" s="6" t="s">
        <v>390</v>
      </c>
      <c r="N160" s="13">
        <v>46234</v>
      </c>
      <c r="O160"/>
    </row>
    <row r="161" spans="1:16" x14ac:dyDescent="0.3">
      <c r="A161" s="2">
        <v>37717</v>
      </c>
      <c r="B161" s="2" t="s">
        <v>12</v>
      </c>
      <c r="C161" s="3" t="s">
        <v>13</v>
      </c>
      <c r="D161" s="2" t="s">
        <v>14</v>
      </c>
      <c r="E161" s="11">
        <v>46216</v>
      </c>
      <c r="F161" s="2" t="s">
        <v>15</v>
      </c>
      <c r="G161" s="3" t="s">
        <v>73</v>
      </c>
      <c r="H161" s="3" t="s">
        <v>74</v>
      </c>
      <c r="I161" s="7" t="s">
        <v>75</v>
      </c>
      <c r="J161" s="4" t="s">
        <v>666</v>
      </c>
      <c r="K161" s="2" t="s">
        <v>23</v>
      </c>
      <c r="L161" s="3" t="s">
        <v>29</v>
      </c>
      <c r="M161" s="3" t="s">
        <v>76</v>
      </c>
      <c r="N161" s="13">
        <v>46234</v>
      </c>
      <c r="O161"/>
    </row>
    <row r="162" spans="1:16" ht="72" x14ac:dyDescent="0.3">
      <c r="A162" s="21">
        <v>37289</v>
      </c>
      <c r="B162" s="21" t="s">
        <v>12</v>
      </c>
      <c r="C162" s="22" t="s">
        <v>13</v>
      </c>
      <c r="D162" s="21" t="s">
        <v>14</v>
      </c>
      <c r="E162" s="23">
        <v>46217</v>
      </c>
      <c r="F162" s="21" t="s">
        <v>15</v>
      </c>
      <c r="G162" s="22" t="s">
        <v>217</v>
      </c>
      <c r="H162" s="22" t="s">
        <v>61</v>
      </c>
      <c r="I162" s="4" t="s">
        <v>218</v>
      </c>
      <c r="J162" s="4" t="s">
        <v>667</v>
      </c>
      <c r="K162" s="2" t="s">
        <v>17</v>
      </c>
      <c r="L162" s="3" t="s">
        <v>219</v>
      </c>
      <c r="M162" s="19" t="s">
        <v>220</v>
      </c>
      <c r="N162" s="13">
        <v>46234</v>
      </c>
      <c r="O162"/>
      <c r="P162" t="s">
        <v>672</v>
      </c>
    </row>
    <row r="163" spans="1:16" ht="72" x14ac:dyDescent="0.3">
      <c r="A163" s="21">
        <v>37289</v>
      </c>
      <c r="B163" s="21" t="s">
        <v>12</v>
      </c>
      <c r="C163" s="22" t="s">
        <v>13</v>
      </c>
      <c r="D163" s="21" t="s">
        <v>14</v>
      </c>
      <c r="E163" s="23">
        <v>46217</v>
      </c>
      <c r="F163" s="21" t="s">
        <v>15</v>
      </c>
      <c r="G163" s="22" t="s">
        <v>217</v>
      </c>
      <c r="H163" s="22" t="s">
        <v>61</v>
      </c>
      <c r="I163" s="4" t="s">
        <v>221</v>
      </c>
      <c r="J163" s="4" t="s">
        <v>667</v>
      </c>
      <c r="K163" s="5" t="s">
        <v>17</v>
      </c>
      <c r="L163" s="6" t="s">
        <v>222</v>
      </c>
      <c r="M163" s="18" t="s">
        <v>220</v>
      </c>
      <c r="N163" s="13">
        <v>46234</v>
      </c>
      <c r="O163"/>
      <c r="P163" t="s">
        <v>672</v>
      </c>
    </row>
    <row r="164" spans="1:16" x14ac:dyDescent="0.3">
      <c r="A164" s="2">
        <v>37298</v>
      </c>
      <c r="B164" s="2" t="s">
        <v>12</v>
      </c>
      <c r="C164" s="3" t="s">
        <v>13</v>
      </c>
      <c r="D164" s="2" t="s">
        <v>14</v>
      </c>
      <c r="E164" s="11">
        <v>46217</v>
      </c>
      <c r="F164" s="2" t="s">
        <v>15</v>
      </c>
      <c r="G164" s="3" t="s">
        <v>519</v>
      </c>
      <c r="H164" s="3" t="s">
        <v>91</v>
      </c>
      <c r="I164" s="4" t="s">
        <v>570</v>
      </c>
      <c r="J164" s="4" t="str">
        <f>VLOOKUP(A164,[1]Auditoría!$A$2:$J$312,10,FALSE)</f>
        <v>Falta Material</v>
      </c>
      <c r="K164" s="2" t="s">
        <v>17</v>
      </c>
      <c r="L164" s="3" t="s">
        <v>571</v>
      </c>
      <c r="M164" s="3" t="s">
        <v>572</v>
      </c>
      <c r="N164" s="13">
        <v>46234</v>
      </c>
      <c r="O164" s="13">
        <v>46231</v>
      </c>
    </row>
    <row r="165" spans="1:16" x14ac:dyDescent="0.3">
      <c r="A165" s="5">
        <v>37321</v>
      </c>
      <c r="B165" s="5" t="s">
        <v>12</v>
      </c>
      <c r="C165" s="6" t="s">
        <v>13</v>
      </c>
      <c r="D165" s="5" t="s">
        <v>14</v>
      </c>
      <c r="E165" s="11">
        <v>46217</v>
      </c>
      <c r="F165" s="16"/>
      <c r="G165" s="6" t="s">
        <v>234</v>
      </c>
      <c r="H165" s="6" t="s">
        <v>235</v>
      </c>
      <c r="I165" s="8" t="s">
        <v>466</v>
      </c>
      <c r="J165" s="4" t="str">
        <f>VLOOKUP(A165,[1]Auditoría!$A$2:$J$312,10,FALSE)</f>
        <v>OK Contabilizar</v>
      </c>
      <c r="K165" s="5" t="s">
        <v>17</v>
      </c>
      <c r="L165" s="6" t="s">
        <v>50</v>
      </c>
      <c r="M165" s="6" t="s">
        <v>51</v>
      </c>
      <c r="N165" s="13">
        <v>46234</v>
      </c>
      <c r="O165" s="13">
        <v>46231</v>
      </c>
      <c r="P165" t="s">
        <v>664</v>
      </c>
    </row>
    <row r="166" spans="1:16" ht="129.6" x14ac:dyDescent="0.3">
      <c r="A166" s="21">
        <v>37333</v>
      </c>
      <c r="B166" s="21" t="s">
        <v>12</v>
      </c>
      <c r="C166" s="22" t="s">
        <v>13</v>
      </c>
      <c r="D166" s="21" t="s">
        <v>14</v>
      </c>
      <c r="E166" s="23">
        <v>46217</v>
      </c>
      <c r="F166" s="21" t="s">
        <v>15</v>
      </c>
      <c r="G166" s="22" t="s">
        <v>65</v>
      </c>
      <c r="H166" s="22" t="s">
        <v>66</v>
      </c>
      <c r="I166" s="4" t="s">
        <v>67</v>
      </c>
      <c r="J166" s="4" t="s">
        <v>667</v>
      </c>
      <c r="K166" s="5" t="s">
        <v>17</v>
      </c>
      <c r="L166" s="6" t="s">
        <v>43</v>
      </c>
      <c r="M166" s="18" t="s">
        <v>68</v>
      </c>
      <c r="N166" s="13">
        <v>46234</v>
      </c>
      <c r="O166"/>
      <c r="P166" t="s">
        <v>672</v>
      </c>
    </row>
    <row r="167" spans="1:16" x14ac:dyDescent="0.3">
      <c r="A167" s="2">
        <v>37604</v>
      </c>
      <c r="B167" s="2" t="s">
        <v>12</v>
      </c>
      <c r="C167" s="3" t="s">
        <v>13</v>
      </c>
      <c r="D167" s="2" t="s">
        <v>14</v>
      </c>
      <c r="E167" s="11">
        <v>46217</v>
      </c>
      <c r="F167" s="2" t="s">
        <v>15</v>
      </c>
      <c r="G167" s="3" t="s">
        <v>418</v>
      </c>
      <c r="H167" s="3" t="s">
        <v>61</v>
      </c>
      <c r="I167" s="7" t="s">
        <v>81</v>
      </c>
      <c r="J167" s="4" t="s">
        <v>666</v>
      </c>
      <c r="K167" s="2" t="s">
        <v>23</v>
      </c>
      <c r="L167" s="3" t="s">
        <v>29</v>
      </c>
      <c r="M167" s="3" t="s">
        <v>419</v>
      </c>
      <c r="N167" s="13">
        <v>46234</v>
      </c>
      <c r="O167"/>
    </row>
    <row r="168" spans="1:16" x14ac:dyDescent="0.3">
      <c r="A168" s="5">
        <v>37607</v>
      </c>
      <c r="B168" s="5" t="s">
        <v>12</v>
      </c>
      <c r="C168" s="6" t="s">
        <v>13</v>
      </c>
      <c r="D168" s="5" t="s">
        <v>14</v>
      </c>
      <c r="E168" s="11">
        <v>46217</v>
      </c>
      <c r="F168" s="5" t="s">
        <v>15</v>
      </c>
      <c r="G168" s="6" t="s">
        <v>130</v>
      </c>
      <c r="H168" s="6" t="s">
        <v>91</v>
      </c>
      <c r="I168" s="7" t="s">
        <v>228</v>
      </c>
      <c r="J168" s="4" t="s">
        <v>666</v>
      </c>
      <c r="K168" s="5" t="s">
        <v>23</v>
      </c>
      <c r="L168" s="6" t="s">
        <v>29</v>
      </c>
      <c r="M168" s="6" t="s">
        <v>419</v>
      </c>
      <c r="N168" s="13">
        <v>46234</v>
      </c>
      <c r="O168"/>
    </row>
    <row r="169" spans="1:16" ht="158.4" x14ac:dyDescent="0.3">
      <c r="A169" s="21">
        <v>37335</v>
      </c>
      <c r="B169" s="21" t="s">
        <v>12</v>
      </c>
      <c r="C169" s="22" t="s">
        <v>13</v>
      </c>
      <c r="D169" s="21" t="s">
        <v>14</v>
      </c>
      <c r="E169" s="23">
        <v>46218</v>
      </c>
      <c r="F169" s="21" t="s">
        <v>15</v>
      </c>
      <c r="G169" s="22" t="s">
        <v>268</v>
      </c>
      <c r="H169" s="22" t="s">
        <v>74</v>
      </c>
      <c r="I169" s="4" t="s">
        <v>467</v>
      </c>
      <c r="J169" s="4" t="s">
        <v>667</v>
      </c>
      <c r="K169" s="5" t="s">
        <v>17</v>
      </c>
      <c r="L169" s="6" t="s">
        <v>582</v>
      </c>
      <c r="M169" s="18" t="s">
        <v>583</v>
      </c>
      <c r="N169" s="13">
        <v>46234</v>
      </c>
      <c r="O169"/>
    </row>
    <row r="170" spans="1:16" x14ac:dyDescent="0.3">
      <c r="A170" s="5">
        <v>37337</v>
      </c>
      <c r="B170" s="5" t="s">
        <v>12</v>
      </c>
      <c r="C170" s="6" t="s">
        <v>13</v>
      </c>
      <c r="D170" s="5" t="s">
        <v>14</v>
      </c>
      <c r="E170" s="11">
        <v>46218</v>
      </c>
      <c r="F170" s="9" t="s">
        <v>15</v>
      </c>
      <c r="G170" s="6" t="s">
        <v>69</v>
      </c>
      <c r="H170" s="6" t="s">
        <v>45</v>
      </c>
      <c r="I170" s="4" t="s">
        <v>70</v>
      </c>
      <c r="J170" s="4" t="str">
        <f>VLOOKUP(A170,[1]Auditoría!$A$2:$J$312,10,FALSE)</f>
        <v>Falta Material</v>
      </c>
      <c r="K170" s="5" t="s">
        <v>23</v>
      </c>
      <c r="L170" s="6" t="s">
        <v>71</v>
      </c>
      <c r="M170" s="6" t="s">
        <v>72</v>
      </c>
      <c r="N170" s="13">
        <v>46234</v>
      </c>
      <c r="O170" s="13">
        <v>46231</v>
      </c>
    </row>
    <row r="171" spans="1:16" x14ac:dyDescent="0.3">
      <c r="A171" s="2">
        <v>37337</v>
      </c>
      <c r="B171" s="2" t="s">
        <v>12</v>
      </c>
      <c r="C171" s="3" t="s">
        <v>13</v>
      </c>
      <c r="D171" s="2" t="s">
        <v>14</v>
      </c>
      <c r="E171" s="11">
        <v>46218</v>
      </c>
      <c r="F171" s="2" t="s">
        <v>15</v>
      </c>
      <c r="G171" s="3" t="s">
        <v>69</v>
      </c>
      <c r="H171" s="3" t="s">
        <v>45</v>
      </c>
      <c r="I171" s="4" t="s">
        <v>386</v>
      </c>
      <c r="J171" s="4" t="str">
        <f>VLOOKUP(A171,[1]Auditoría!$A$2:$J$312,10,FALSE)</f>
        <v>Falta Material</v>
      </c>
      <c r="K171" s="2" t="s">
        <v>17</v>
      </c>
      <c r="L171" s="3" t="s">
        <v>387</v>
      </c>
      <c r="M171" s="3" t="s">
        <v>72</v>
      </c>
      <c r="N171" s="13">
        <v>46234</v>
      </c>
      <c r="O171" s="13">
        <v>46231</v>
      </c>
    </row>
    <row r="172" spans="1:16" x14ac:dyDescent="0.3">
      <c r="A172" s="2">
        <v>37337</v>
      </c>
      <c r="B172" s="2" t="s">
        <v>12</v>
      </c>
      <c r="C172" s="3" t="s">
        <v>13</v>
      </c>
      <c r="D172" s="2" t="s">
        <v>14</v>
      </c>
      <c r="E172" s="11">
        <v>46218</v>
      </c>
      <c r="F172" s="2" t="s">
        <v>15</v>
      </c>
      <c r="G172" s="3" t="s">
        <v>69</v>
      </c>
      <c r="H172" s="3" t="s">
        <v>45</v>
      </c>
      <c r="I172" s="4" t="s">
        <v>248</v>
      </c>
      <c r="J172" s="4" t="str">
        <f>VLOOKUP(A172,[1]Auditoría!$A$2:$J$312,10,FALSE)</f>
        <v>Falta Material</v>
      </c>
      <c r="K172" s="2" t="s">
        <v>17</v>
      </c>
      <c r="L172" s="3" t="s">
        <v>584</v>
      </c>
      <c r="M172" s="3" t="s">
        <v>72</v>
      </c>
      <c r="N172" s="13">
        <v>46234</v>
      </c>
      <c r="O172" s="13">
        <v>46231</v>
      </c>
    </row>
    <row r="173" spans="1:16" ht="43.2" x14ac:dyDescent="0.3">
      <c r="A173" s="21">
        <v>37341</v>
      </c>
      <c r="B173" s="21" t="s">
        <v>12</v>
      </c>
      <c r="C173" s="22" t="s">
        <v>19</v>
      </c>
      <c r="D173" s="21" t="s">
        <v>14</v>
      </c>
      <c r="E173" s="23">
        <v>46218</v>
      </c>
      <c r="F173" s="21" t="s">
        <v>15</v>
      </c>
      <c r="G173" s="22" t="s">
        <v>540</v>
      </c>
      <c r="H173" s="22" t="s">
        <v>91</v>
      </c>
      <c r="I173" s="4" t="s">
        <v>243</v>
      </c>
      <c r="J173" s="4" t="s">
        <v>667</v>
      </c>
      <c r="K173" s="2" t="s">
        <v>17</v>
      </c>
      <c r="L173" s="3" t="s">
        <v>55</v>
      </c>
      <c r="M173" s="19" t="s">
        <v>541</v>
      </c>
      <c r="N173" s="13">
        <v>46234</v>
      </c>
      <c r="O173"/>
      <c r="P173" t="s">
        <v>672</v>
      </c>
    </row>
    <row r="174" spans="1:16" ht="43.2" x14ac:dyDescent="0.3">
      <c r="A174" s="21">
        <v>37341</v>
      </c>
      <c r="B174" s="21" t="s">
        <v>12</v>
      </c>
      <c r="C174" s="22" t="s">
        <v>19</v>
      </c>
      <c r="D174" s="21" t="s">
        <v>14</v>
      </c>
      <c r="E174" s="23">
        <v>46218</v>
      </c>
      <c r="F174" s="21" t="s">
        <v>15</v>
      </c>
      <c r="G174" s="22" t="s">
        <v>540</v>
      </c>
      <c r="H174" s="22" t="s">
        <v>91</v>
      </c>
      <c r="I174" s="4" t="s">
        <v>278</v>
      </c>
      <c r="J174" s="4" t="s">
        <v>667</v>
      </c>
      <c r="K174" s="5" t="s">
        <v>17</v>
      </c>
      <c r="L174" s="6" t="s">
        <v>55</v>
      </c>
      <c r="M174" s="18" t="s">
        <v>541</v>
      </c>
      <c r="N174" s="13">
        <v>46234</v>
      </c>
      <c r="O174"/>
      <c r="P174" t="s">
        <v>672</v>
      </c>
    </row>
    <row r="175" spans="1:16" x14ac:dyDescent="0.3">
      <c r="A175" s="2">
        <v>37342</v>
      </c>
      <c r="B175" s="2" t="s">
        <v>12</v>
      </c>
      <c r="C175" s="3" t="s">
        <v>13</v>
      </c>
      <c r="D175" s="2" t="s">
        <v>14</v>
      </c>
      <c r="E175" s="11">
        <v>46218</v>
      </c>
      <c r="F175" s="2" t="s">
        <v>15</v>
      </c>
      <c r="G175" s="3" t="s">
        <v>174</v>
      </c>
      <c r="H175" s="3" t="s">
        <v>153</v>
      </c>
      <c r="I175" s="7" t="s">
        <v>542</v>
      </c>
      <c r="J175" s="4" t="str">
        <f>VLOOKUP(A175,[1]Auditoría!$A$2:$J$312,10,FALSE)</f>
        <v>Falta Material</v>
      </c>
      <c r="K175" s="2" t="s">
        <v>17</v>
      </c>
      <c r="L175" s="3" t="s">
        <v>29</v>
      </c>
      <c r="M175" s="3" t="s">
        <v>543</v>
      </c>
      <c r="N175" s="13">
        <v>46234</v>
      </c>
      <c r="O175" s="13">
        <v>46231</v>
      </c>
    </row>
    <row r="176" spans="1:16" x14ac:dyDescent="0.3">
      <c r="A176" s="2">
        <v>37424</v>
      </c>
      <c r="B176" s="2" t="s">
        <v>12</v>
      </c>
      <c r="C176" s="3" t="s">
        <v>13</v>
      </c>
      <c r="D176" s="2" t="s">
        <v>14</v>
      </c>
      <c r="E176" s="11">
        <v>46218</v>
      </c>
      <c r="F176" s="2" t="s">
        <v>15</v>
      </c>
      <c r="G176" s="3" t="s">
        <v>576</v>
      </c>
      <c r="H176" s="3" t="s">
        <v>185</v>
      </c>
      <c r="I176" s="7" t="s">
        <v>352</v>
      </c>
      <c r="J176" s="4" t="str">
        <f>VLOOKUP(A176,[1]Auditoría!$A$2:$J$312,10,FALSE)</f>
        <v>Falta Material</v>
      </c>
      <c r="K176" s="2" t="s">
        <v>17</v>
      </c>
      <c r="L176" s="3" t="s">
        <v>29</v>
      </c>
      <c r="M176" s="3" t="s">
        <v>353</v>
      </c>
      <c r="N176" s="13">
        <v>46234</v>
      </c>
      <c r="O176" s="13">
        <v>46231</v>
      </c>
    </row>
    <row r="177" spans="1:16" ht="57.6" x14ac:dyDescent="0.3">
      <c r="A177" s="21">
        <v>37432</v>
      </c>
      <c r="B177" s="21" t="s">
        <v>12</v>
      </c>
      <c r="C177" s="22" t="s">
        <v>13</v>
      </c>
      <c r="D177" s="21" t="s">
        <v>14</v>
      </c>
      <c r="E177" s="23">
        <v>46218</v>
      </c>
      <c r="F177" s="21" t="s">
        <v>15</v>
      </c>
      <c r="G177" s="22" t="s">
        <v>359</v>
      </c>
      <c r="H177" s="22" t="s">
        <v>16</v>
      </c>
      <c r="I177" s="4" t="s">
        <v>104</v>
      </c>
      <c r="J177" s="4" t="s">
        <v>667</v>
      </c>
      <c r="K177" s="2" t="s">
        <v>17</v>
      </c>
      <c r="L177" s="3" t="s">
        <v>55</v>
      </c>
      <c r="M177" s="19" t="s">
        <v>360</v>
      </c>
      <c r="N177" s="13">
        <v>46234</v>
      </c>
      <c r="O177"/>
      <c r="P177" t="s">
        <v>672</v>
      </c>
    </row>
    <row r="178" spans="1:16" x14ac:dyDescent="0.3">
      <c r="A178" s="21">
        <v>37437</v>
      </c>
      <c r="B178" s="21" t="s">
        <v>129</v>
      </c>
      <c r="C178" s="22" t="s">
        <v>13</v>
      </c>
      <c r="D178" s="21" t="s">
        <v>14</v>
      </c>
      <c r="E178" s="23">
        <v>46218</v>
      </c>
      <c r="F178" s="21" t="s">
        <v>15</v>
      </c>
      <c r="G178" s="22" t="s">
        <v>87</v>
      </c>
      <c r="H178" s="22" t="s">
        <v>21</v>
      </c>
      <c r="I178" s="4" t="s">
        <v>486</v>
      </c>
      <c r="J178" s="4" t="s">
        <v>667</v>
      </c>
      <c r="K178" s="5" t="s">
        <v>17</v>
      </c>
      <c r="L178" s="6" t="s">
        <v>43</v>
      </c>
      <c r="M178" s="18" t="s">
        <v>481</v>
      </c>
      <c r="N178" s="13">
        <v>46234</v>
      </c>
      <c r="O178"/>
      <c r="P178" t="s">
        <v>672</v>
      </c>
    </row>
    <row r="179" spans="1:16" x14ac:dyDescent="0.3">
      <c r="A179" s="2">
        <v>37623</v>
      </c>
      <c r="B179" s="2" t="s">
        <v>12</v>
      </c>
      <c r="C179" s="3" t="s">
        <v>13</v>
      </c>
      <c r="D179" s="2" t="s">
        <v>14</v>
      </c>
      <c r="E179" s="11">
        <v>46218</v>
      </c>
      <c r="F179" s="2" t="s">
        <v>15</v>
      </c>
      <c r="G179" s="3" t="s">
        <v>359</v>
      </c>
      <c r="H179" s="3" t="s">
        <v>16</v>
      </c>
      <c r="I179" s="7" t="s">
        <v>28</v>
      </c>
      <c r="J179" s="4" t="s">
        <v>666</v>
      </c>
      <c r="K179" s="2" t="s">
        <v>23</v>
      </c>
      <c r="L179" s="3" t="s">
        <v>29</v>
      </c>
      <c r="M179" s="3" t="s">
        <v>193</v>
      </c>
      <c r="N179" s="13">
        <v>46234</v>
      </c>
      <c r="O179"/>
    </row>
    <row r="180" spans="1:16" x14ac:dyDescent="0.3">
      <c r="A180" s="2">
        <v>37627</v>
      </c>
      <c r="B180" s="2" t="s">
        <v>12</v>
      </c>
      <c r="C180" s="3" t="s">
        <v>13</v>
      </c>
      <c r="D180" s="2" t="s">
        <v>14</v>
      </c>
      <c r="E180" s="11">
        <v>46218</v>
      </c>
      <c r="F180" s="2" t="s">
        <v>15</v>
      </c>
      <c r="G180" s="3" t="s">
        <v>255</v>
      </c>
      <c r="H180" s="3" t="s">
        <v>16</v>
      </c>
      <c r="I180" s="7" t="s">
        <v>28</v>
      </c>
      <c r="J180" s="4" t="s">
        <v>666</v>
      </c>
      <c r="K180" s="2" t="s">
        <v>23</v>
      </c>
      <c r="L180" s="3" t="s">
        <v>29</v>
      </c>
      <c r="M180" s="3" t="s">
        <v>308</v>
      </c>
      <c r="N180" s="13">
        <v>46234</v>
      </c>
      <c r="O180"/>
    </row>
    <row r="181" spans="1:16" ht="28.8" x14ac:dyDescent="0.3">
      <c r="A181" s="21">
        <v>37443</v>
      </c>
      <c r="B181" s="21" t="s">
        <v>12</v>
      </c>
      <c r="C181" s="22" t="s">
        <v>19</v>
      </c>
      <c r="D181" s="21" t="s">
        <v>14</v>
      </c>
      <c r="E181" s="23">
        <v>46219</v>
      </c>
      <c r="F181" s="21" t="s">
        <v>15</v>
      </c>
      <c r="G181" s="22" t="s">
        <v>628</v>
      </c>
      <c r="H181" s="22" t="s">
        <v>164</v>
      </c>
      <c r="I181" s="4" t="s">
        <v>142</v>
      </c>
      <c r="J181" s="4" t="s">
        <v>668</v>
      </c>
      <c r="K181" s="5" t="s">
        <v>17</v>
      </c>
      <c r="L181" s="6" t="s">
        <v>71</v>
      </c>
      <c r="M181" s="18" t="s">
        <v>629</v>
      </c>
      <c r="N181" s="13">
        <v>46234</v>
      </c>
      <c r="O181"/>
    </row>
    <row r="182" spans="1:16" ht="43.2" x14ac:dyDescent="0.3">
      <c r="A182" s="21">
        <v>37445</v>
      </c>
      <c r="B182" s="21" t="s">
        <v>12</v>
      </c>
      <c r="C182" s="22" t="s">
        <v>13</v>
      </c>
      <c r="D182" s="21" t="s">
        <v>14</v>
      </c>
      <c r="E182" s="23">
        <v>46219</v>
      </c>
      <c r="F182" s="21" t="s">
        <v>15</v>
      </c>
      <c r="G182" s="22" t="s">
        <v>106</v>
      </c>
      <c r="H182" s="22" t="s">
        <v>107</v>
      </c>
      <c r="I182" s="4" t="s">
        <v>361</v>
      </c>
      <c r="J182" s="4" t="s">
        <v>668</v>
      </c>
      <c r="K182" s="5" t="s">
        <v>17</v>
      </c>
      <c r="L182" s="6" t="s">
        <v>362</v>
      </c>
      <c r="M182" s="18" t="s">
        <v>363</v>
      </c>
      <c r="N182" s="13">
        <v>46234</v>
      </c>
      <c r="O182"/>
    </row>
    <row r="183" spans="1:16" s="27" customFormat="1" ht="28.8" x14ac:dyDescent="0.3">
      <c r="A183" s="21">
        <v>37447</v>
      </c>
      <c r="B183" s="21" t="s">
        <v>12</v>
      </c>
      <c r="C183" s="22" t="s">
        <v>13</v>
      </c>
      <c r="D183" s="21" t="s">
        <v>14</v>
      </c>
      <c r="E183" s="23">
        <v>46219</v>
      </c>
      <c r="F183" s="21" t="s">
        <v>15</v>
      </c>
      <c r="G183" s="22" t="s">
        <v>110</v>
      </c>
      <c r="H183" s="22" t="s">
        <v>36</v>
      </c>
      <c r="I183" s="22" t="s">
        <v>364</v>
      </c>
      <c r="J183" s="4" t="s">
        <v>667</v>
      </c>
      <c r="K183" s="21" t="s">
        <v>17</v>
      </c>
      <c r="L183" s="22" t="s">
        <v>215</v>
      </c>
      <c r="M183" s="25" t="s">
        <v>365</v>
      </c>
      <c r="N183" s="26">
        <v>46234</v>
      </c>
    </row>
    <row r="184" spans="1:16" x14ac:dyDescent="0.3">
      <c r="A184" s="21">
        <v>37453</v>
      </c>
      <c r="B184" s="21" t="s">
        <v>12</v>
      </c>
      <c r="C184" s="22" t="s">
        <v>13</v>
      </c>
      <c r="D184" s="21" t="s">
        <v>14</v>
      </c>
      <c r="E184" s="23">
        <v>46219</v>
      </c>
      <c r="F184" s="28"/>
      <c r="G184" s="22" t="s">
        <v>234</v>
      </c>
      <c r="H184" s="22" t="s">
        <v>235</v>
      </c>
      <c r="I184" s="4" t="s">
        <v>236</v>
      </c>
      <c r="J184" s="4" t="s">
        <v>668</v>
      </c>
      <c r="K184" s="5" t="s">
        <v>17</v>
      </c>
      <c r="L184" s="6" t="s">
        <v>674</v>
      </c>
      <c r="M184" s="18" t="s">
        <v>237</v>
      </c>
      <c r="N184" s="13">
        <v>46234</v>
      </c>
      <c r="O184"/>
    </row>
    <row r="185" spans="1:16" ht="86.4" x14ac:dyDescent="0.3">
      <c r="A185" s="21">
        <v>37455</v>
      </c>
      <c r="B185" s="21" t="s">
        <v>12</v>
      </c>
      <c r="C185" s="22" t="s">
        <v>13</v>
      </c>
      <c r="D185" s="21" t="s">
        <v>14</v>
      </c>
      <c r="E185" s="23">
        <v>46219</v>
      </c>
      <c r="F185" s="21" t="s">
        <v>15</v>
      </c>
      <c r="G185" s="22" t="s">
        <v>238</v>
      </c>
      <c r="H185" s="22" t="s">
        <v>239</v>
      </c>
      <c r="I185" s="4" t="s">
        <v>240</v>
      </c>
      <c r="J185" s="4" t="s">
        <v>667</v>
      </c>
      <c r="K185" s="2" t="s">
        <v>17</v>
      </c>
      <c r="L185" s="3" t="s">
        <v>113</v>
      </c>
      <c r="M185" s="19" t="s">
        <v>241</v>
      </c>
      <c r="N185" s="13">
        <v>46234</v>
      </c>
      <c r="O185"/>
      <c r="P185" t="s">
        <v>672</v>
      </c>
    </row>
    <row r="186" spans="1:16" ht="86.4" x14ac:dyDescent="0.3">
      <c r="A186" s="21">
        <v>37455</v>
      </c>
      <c r="B186" s="21" t="s">
        <v>12</v>
      </c>
      <c r="C186" s="22" t="s">
        <v>13</v>
      </c>
      <c r="D186" s="21" t="s">
        <v>14</v>
      </c>
      <c r="E186" s="23">
        <v>46219</v>
      </c>
      <c r="F186" s="21" t="s">
        <v>15</v>
      </c>
      <c r="G186" s="22" t="s">
        <v>238</v>
      </c>
      <c r="H186" s="22" t="s">
        <v>239</v>
      </c>
      <c r="I186" s="4" t="s">
        <v>577</v>
      </c>
      <c r="J186" s="4" t="s">
        <v>667</v>
      </c>
      <c r="K186" s="2" t="s">
        <v>17</v>
      </c>
      <c r="L186" s="3" t="s">
        <v>113</v>
      </c>
      <c r="M186" s="19" t="s">
        <v>241</v>
      </c>
      <c r="N186" s="13">
        <v>46234</v>
      </c>
      <c r="O186"/>
      <c r="P186" t="s">
        <v>672</v>
      </c>
    </row>
    <row r="187" spans="1:16" ht="28.8" x14ac:dyDescent="0.3">
      <c r="A187" s="21">
        <v>37458</v>
      </c>
      <c r="B187" s="21" t="s">
        <v>18</v>
      </c>
      <c r="C187" s="22" t="s">
        <v>19</v>
      </c>
      <c r="D187" s="21" t="s">
        <v>14</v>
      </c>
      <c r="E187" s="23">
        <v>46219</v>
      </c>
      <c r="F187" s="21" t="s">
        <v>15</v>
      </c>
      <c r="G187" s="22" t="s">
        <v>20</v>
      </c>
      <c r="H187" s="22" t="s">
        <v>21</v>
      </c>
      <c r="I187" s="4" t="s">
        <v>22</v>
      </c>
      <c r="J187" s="4" t="s">
        <v>667</v>
      </c>
      <c r="K187" s="5" t="s">
        <v>23</v>
      </c>
      <c r="L187" s="6" t="s">
        <v>24</v>
      </c>
      <c r="M187" s="18" t="s">
        <v>25</v>
      </c>
      <c r="N187" s="13">
        <v>46234</v>
      </c>
      <c r="O187"/>
      <c r="P187" t="s">
        <v>672</v>
      </c>
    </row>
    <row r="188" spans="1:16" ht="28.8" x14ac:dyDescent="0.3">
      <c r="A188" s="21">
        <v>37459</v>
      </c>
      <c r="B188" s="21" t="s">
        <v>18</v>
      </c>
      <c r="C188" s="22" t="s">
        <v>19</v>
      </c>
      <c r="D188" s="21" t="s">
        <v>14</v>
      </c>
      <c r="E188" s="23">
        <v>46219</v>
      </c>
      <c r="F188" s="21" t="s">
        <v>15</v>
      </c>
      <c r="G188" s="22" t="s">
        <v>20</v>
      </c>
      <c r="H188" s="22" t="s">
        <v>21</v>
      </c>
      <c r="I188" s="4" t="s">
        <v>276</v>
      </c>
      <c r="J188" s="4" t="s">
        <v>667</v>
      </c>
      <c r="K188" s="2" t="s">
        <v>23</v>
      </c>
      <c r="L188" s="3" t="s">
        <v>24</v>
      </c>
      <c r="M188" s="19" t="s">
        <v>25</v>
      </c>
      <c r="N188" s="13">
        <v>46234</v>
      </c>
      <c r="O188"/>
      <c r="P188" t="s">
        <v>672</v>
      </c>
    </row>
    <row r="189" spans="1:16" ht="43.2" x14ac:dyDescent="0.3">
      <c r="A189" s="21">
        <v>37464</v>
      </c>
      <c r="B189" s="21" t="s">
        <v>12</v>
      </c>
      <c r="C189" s="22" t="s">
        <v>13</v>
      </c>
      <c r="D189" s="21" t="s">
        <v>14</v>
      </c>
      <c r="E189" s="23">
        <v>46219</v>
      </c>
      <c r="F189" s="21" t="s">
        <v>15</v>
      </c>
      <c r="G189" s="22" t="s">
        <v>451</v>
      </c>
      <c r="H189" s="22" t="s">
        <v>452</v>
      </c>
      <c r="I189" s="4" t="s">
        <v>100</v>
      </c>
      <c r="J189" s="4" t="s">
        <v>673</v>
      </c>
      <c r="K189" s="2" t="s">
        <v>17</v>
      </c>
      <c r="L189" s="3" t="s">
        <v>103</v>
      </c>
      <c r="M189" s="19" t="s">
        <v>453</v>
      </c>
      <c r="N189" s="13">
        <v>46234</v>
      </c>
      <c r="O189"/>
    </row>
    <row r="190" spans="1:16" ht="43.2" x14ac:dyDescent="0.3">
      <c r="A190" s="32">
        <v>37464</v>
      </c>
      <c r="B190" s="32" t="s">
        <v>12</v>
      </c>
      <c r="C190" s="33" t="s">
        <v>13</v>
      </c>
      <c r="D190" s="32" t="s">
        <v>14</v>
      </c>
      <c r="E190" s="34">
        <v>46219</v>
      </c>
      <c r="F190" s="32" t="s">
        <v>15</v>
      </c>
      <c r="G190" s="33" t="s">
        <v>451</v>
      </c>
      <c r="H190" s="22" t="s">
        <v>452</v>
      </c>
      <c r="I190" s="4" t="s">
        <v>630</v>
      </c>
      <c r="J190" s="4" t="s">
        <v>667</v>
      </c>
      <c r="K190" s="5" t="s">
        <v>17</v>
      </c>
      <c r="L190" s="6" t="s">
        <v>383</v>
      </c>
      <c r="M190" s="18" t="s">
        <v>453</v>
      </c>
      <c r="N190" s="13">
        <v>46234</v>
      </c>
      <c r="O190"/>
      <c r="P190" t="s">
        <v>672</v>
      </c>
    </row>
    <row r="191" spans="1:16" x14ac:dyDescent="0.3">
      <c r="A191" s="29">
        <v>37467</v>
      </c>
      <c r="B191" s="29" t="s">
        <v>18</v>
      </c>
      <c r="C191" s="30" t="s">
        <v>13</v>
      </c>
      <c r="D191" s="29" t="s">
        <v>14</v>
      </c>
      <c r="E191" s="31">
        <v>46219</v>
      </c>
      <c r="F191" s="29" t="s">
        <v>15</v>
      </c>
      <c r="G191" s="30" t="s">
        <v>524</v>
      </c>
      <c r="H191" s="30" t="s">
        <v>525</v>
      </c>
      <c r="I191" s="7" t="s">
        <v>42</v>
      </c>
      <c r="J191" s="4" t="s">
        <v>666</v>
      </c>
      <c r="K191" s="5" t="s">
        <v>17</v>
      </c>
      <c r="L191" s="6" t="s">
        <v>29</v>
      </c>
      <c r="M191" s="6" t="s">
        <v>526</v>
      </c>
      <c r="N191" s="13">
        <v>46234</v>
      </c>
      <c r="O191"/>
    </row>
    <row r="192" spans="1:16" x14ac:dyDescent="0.3">
      <c r="A192" s="2">
        <v>37468</v>
      </c>
      <c r="B192" s="2" t="s">
        <v>18</v>
      </c>
      <c r="C192" s="3" t="s">
        <v>13</v>
      </c>
      <c r="D192" s="2" t="s">
        <v>14</v>
      </c>
      <c r="E192" s="11">
        <v>46219</v>
      </c>
      <c r="F192" s="2" t="s">
        <v>15</v>
      </c>
      <c r="G192" s="3" t="s">
        <v>524</v>
      </c>
      <c r="H192" s="3" t="s">
        <v>525</v>
      </c>
      <c r="I192" s="7" t="s">
        <v>421</v>
      </c>
      <c r="J192" s="4" t="s">
        <v>666</v>
      </c>
      <c r="K192" s="2" t="s">
        <v>17</v>
      </c>
      <c r="L192" s="3" t="s">
        <v>29</v>
      </c>
      <c r="M192" s="3" t="s">
        <v>631</v>
      </c>
      <c r="N192" s="13">
        <v>46234</v>
      </c>
      <c r="O192"/>
    </row>
    <row r="193" spans="1:16" x14ac:dyDescent="0.3">
      <c r="A193" s="5">
        <v>37469</v>
      </c>
      <c r="B193" s="5" t="s">
        <v>18</v>
      </c>
      <c r="C193" s="6" t="s">
        <v>13</v>
      </c>
      <c r="D193" s="5" t="s">
        <v>14</v>
      </c>
      <c r="E193" s="11">
        <v>46219</v>
      </c>
      <c r="F193" s="5" t="s">
        <v>15</v>
      </c>
      <c r="G193" s="6" t="s">
        <v>524</v>
      </c>
      <c r="H193" s="6" t="s">
        <v>525</v>
      </c>
      <c r="I193" s="7" t="s">
        <v>205</v>
      </c>
      <c r="J193" s="4" t="s">
        <v>666</v>
      </c>
      <c r="K193" s="5" t="s">
        <v>17</v>
      </c>
      <c r="L193" s="6" t="s">
        <v>29</v>
      </c>
      <c r="M193" s="6" t="s">
        <v>632</v>
      </c>
      <c r="N193" s="13">
        <v>46234</v>
      </c>
      <c r="O193"/>
    </row>
    <row r="194" spans="1:16" x14ac:dyDescent="0.3">
      <c r="A194" s="2">
        <v>37481</v>
      </c>
      <c r="B194" s="2" t="s">
        <v>12</v>
      </c>
      <c r="C194" s="3" t="s">
        <v>13</v>
      </c>
      <c r="D194" s="2" t="s">
        <v>14</v>
      </c>
      <c r="E194" s="11">
        <v>46219</v>
      </c>
      <c r="F194" s="2" t="s">
        <v>15</v>
      </c>
      <c r="G194" s="3" t="s">
        <v>60</v>
      </c>
      <c r="H194" s="3" t="s">
        <v>61</v>
      </c>
      <c r="I194" s="7" t="s">
        <v>435</v>
      </c>
      <c r="J194" s="4" t="s">
        <v>666</v>
      </c>
      <c r="K194" s="2" t="s">
        <v>17</v>
      </c>
      <c r="L194" s="3" t="s">
        <v>29</v>
      </c>
      <c r="M194" s="3" t="s">
        <v>436</v>
      </c>
      <c r="N194" s="13">
        <v>46234</v>
      </c>
      <c r="O194"/>
    </row>
    <row r="195" spans="1:16" x14ac:dyDescent="0.3">
      <c r="A195" s="5">
        <v>37481</v>
      </c>
      <c r="B195" s="5" t="s">
        <v>12</v>
      </c>
      <c r="C195" s="6" t="s">
        <v>13</v>
      </c>
      <c r="D195" s="5" t="s">
        <v>14</v>
      </c>
      <c r="E195" s="11">
        <v>46219</v>
      </c>
      <c r="F195" s="5" t="s">
        <v>15</v>
      </c>
      <c r="G195" s="6" t="s">
        <v>60</v>
      </c>
      <c r="H195" s="6" t="s">
        <v>61</v>
      </c>
      <c r="I195" s="7" t="s">
        <v>437</v>
      </c>
      <c r="J195" s="4" t="s">
        <v>666</v>
      </c>
      <c r="K195" s="5" t="s">
        <v>17</v>
      </c>
      <c r="L195" s="6" t="s">
        <v>29</v>
      </c>
      <c r="M195" s="6" t="s">
        <v>436</v>
      </c>
      <c r="N195" s="13">
        <v>46234</v>
      </c>
      <c r="O195"/>
    </row>
    <row r="196" spans="1:16" x14ac:dyDescent="0.3">
      <c r="A196" s="2">
        <v>37481</v>
      </c>
      <c r="B196" s="2" t="s">
        <v>12</v>
      </c>
      <c r="C196" s="3" t="s">
        <v>13</v>
      </c>
      <c r="D196" s="2" t="s">
        <v>14</v>
      </c>
      <c r="E196" s="11">
        <v>46219</v>
      </c>
      <c r="F196" s="2" t="s">
        <v>15</v>
      </c>
      <c r="G196" s="3" t="s">
        <v>60</v>
      </c>
      <c r="H196" s="3" t="s">
        <v>61</v>
      </c>
      <c r="I196" s="7" t="s">
        <v>58</v>
      </c>
      <c r="J196" s="4" t="s">
        <v>666</v>
      </c>
      <c r="K196" s="2" t="s">
        <v>17</v>
      </c>
      <c r="L196" s="3" t="s">
        <v>29</v>
      </c>
      <c r="M196" s="3" t="s">
        <v>436</v>
      </c>
      <c r="N196" s="13">
        <v>46234</v>
      </c>
      <c r="O196"/>
    </row>
    <row r="197" spans="1:16" x14ac:dyDescent="0.3">
      <c r="A197" s="5">
        <v>37484</v>
      </c>
      <c r="B197" s="5" t="s">
        <v>129</v>
      </c>
      <c r="C197" s="6" t="s">
        <v>13</v>
      </c>
      <c r="D197" s="5" t="s">
        <v>14</v>
      </c>
      <c r="E197" s="11">
        <v>46219</v>
      </c>
      <c r="F197" s="5" t="s">
        <v>15</v>
      </c>
      <c r="G197" s="6" t="s">
        <v>300</v>
      </c>
      <c r="H197" s="6" t="s">
        <v>36</v>
      </c>
      <c r="I197" s="7" t="s">
        <v>89</v>
      </c>
      <c r="J197" s="4" t="str">
        <f>VLOOKUP(A197,[1]Auditoría!$A$2:$J$312,10,FALSE)</f>
        <v>Falta Consumos</v>
      </c>
      <c r="K197" s="5" t="s">
        <v>17</v>
      </c>
      <c r="L197" s="6" t="s">
        <v>29</v>
      </c>
      <c r="M197" s="6" t="s">
        <v>341</v>
      </c>
      <c r="N197" s="13">
        <v>46234</v>
      </c>
      <c r="O197" s="13">
        <v>46231</v>
      </c>
    </row>
    <row r="198" spans="1:16" x14ac:dyDescent="0.3">
      <c r="A198" s="2">
        <v>37484</v>
      </c>
      <c r="B198" s="2" t="s">
        <v>129</v>
      </c>
      <c r="C198" s="3" t="s">
        <v>13</v>
      </c>
      <c r="D198" s="2" t="s">
        <v>14</v>
      </c>
      <c r="E198" s="11">
        <v>46219</v>
      </c>
      <c r="F198" s="2" t="s">
        <v>15</v>
      </c>
      <c r="G198" s="3" t="s">
        <v>300</v>
      </c>
      <c r="H198" s="3" t="s">
        <v>36</v>
      </c>
      <c r="I198" s="7" t="s">
        <v>154</v>
      </c>
      <c r="J198" s="4" t="str">
        <f>VLOOKUP(A198,[1]Auditoría!$A$2:$J$312,10,FALSE)</f>
        <v>Falta Consumos</v>
      </c>
      <c r="K198" s="2" t="s">
        <v>17</v>
      </c>
      <c r="L198" s="3" t="s">
        <v>29</v>
      </c>
      <c r="M198" s="3" t="s">
        <v>341</v>
      </c>
      <c r="N198" s="13">
        <v>46234</v>
      </c>
      <c r="O198" s="13">
        <v>46231</v>
      </c>
    </row>
    <row r="199" spans="1:16" ht="43.2" x14ac:dyDescent="0.3">
      <c r="A199" s="21">
        <v>37493</v>
      </c>
      <c r="B199" s="21" t="s">
        <v>129</v>
      </c>
      <c r="C199" s="22" t="s">
        <v>39</v>
      </c>
      <c r="D199" s="21" t="s">
        <v>14</v>
      </c>
      <c r="E199" s="23">
        <v>46219</v>
      </c>
      <c r="F199" s="21" t="s">
        <v>15</v>
      </c>
      <c r="G199" s="22" t="s">
        <v>342</v>
      </c>
      <c r="H199" s="22" t="s">
        <v>66</v>
      </c>
      <c r="I199" s="4" t="s">
        <v>154</v>
      </c>
      <c r="J199" s="4" t="s">
        <v>668</v>
      </c>
      <c r="K199" s="5" t="s">
        <v>17</v>
      </c>
      <c r="L199" s="6" t="s">
        <v>343</v>
      </c>
      <c r="M199" s="18" t="s">
        <v>344</v>
      </c>
      <c r="N199" s="13">
        <v>46234</v>
      </c>
      <c r="O199"/>
    </row>
    <row r="200" spans="1:16" x14ac:dyDescent="0.3">
      <c r="A200" s="5">
        <v>37905</v>
      </c>
      <c r="B200" s="5" t="s">
        <v>12</v>
      </c>
      <c r="C200" s="6" t="s">
        <v>13</v>
      </c>
      <c r="D200" s="5" t="s">
        <v>14</v>
      </c>
      <c r="E200" s="11">
        <v>46219</v>
      </c>
      <c r="F200" s="5" t="s">
        <v>15</v>
      </c>
      <c r="G200" s="6" t="s">
        <v>300</v>
      </c>
      <c r="H200" s="6" t="s">
        <v>36</v>
      </c>
      <c r="I200" s="7" t="s">
        <v>89</v>
      </c>
      <c r="J200" s="4" t="s">
        <v>666</v>
      </c>
      <c r="K200" s="5" t="s">
        <v>23</v>
      </c>
      <c r="L200" s="6" t="s">
        <v>29</v>
      </c>
      <c r="M200" s="6" t="s">
        <v>301</v>
      </c>
      <c r="N200" s="13">
        <v>46234</v>
      </c>
      <c r="O200"/>
    </row>
    <row r="201" spans="1:16" x14ac:dyDescent="0.3">
      <c r="A201" s="2">
        <v>37489</v>
      </c>
      <c r="B201" s="2" t="s">
        <v>12</v>
      </c>
      <c r="C201" s="3" t="s">
        <v>13</v>
      </c>
      <c r="D201" s="2" t="s">
        <v>14</v>
      </c>
      <c r="E201" s="11">
        <v>46220</v>
      </c>
      <c r="F201" s="2" t="s">
        <v>15</v>
      </c>
      <c r="G201" s="3" t="s">
        <v>87</v>
      </c>
      <c r="H201" s="3" t="s">
        <v>21</v>
      </c>
      <c r="I201" s="7" t="s">
        <v>438</v>
      </c>
      <c r="J201" s="4" t="str">
        <f>VLOOKUP(A201,[1]Auditoría!$A$2:$J$312,10,FALSE)</f>
        <v>Falta Consumos</v>
      </c>
      <c r="K201" s="2" t="s">
        <v>17</v>
      </c>
      <c r="L201" s="3" t="s">
        <v>29</v>
      </c>
      <c r="M201" s="3" t="s">
        <v>439</v>
      </c>
      <c r="N201" s="13">
        <v>46234</v>
      </c>
      <c r="O201" s="13">
        <v>46231</v>
      </c>
    </row>
    <row r="202" spans="1:16" x14ac:dyDescent="0.3">
      <c r="A202" s="2">
        <v>37489</v>
      </c>
      <c r="B202" s="2" t="s">
        <v>12</v>
      </c>
      <c r="C202" s="3" t="s">
        <v>13</v>
      </c>
      <c r="D202" s="2" t="s">
        <v>14</v>
      </c>
      <c r="E202" s="11">
        <v>46220</v>
      </c>
      <c r="F202" s="2" t="s">
        <v>15</v>
      </c>
      <c r="G202" s="3" t="s">
        <v>87</v>
      </c>
      <c r="H202" s="3" t="s">
        <v>21</v>
      </c>
      <c r="I202" s="7" t="s">
        <v>510</v>
      </c>
      <c r="J202" s="4" t="str">
        <f>VLOOKUP(A202,[1]Auditoría!$A$2:$J$312,10,FALSE)</f>
        <v>Falta Consumos</v>
      </c>
      <c r="K202" s="2" t="s">
        <v>17</v>
      </c>
      <c r="L202" s="3" t="s">
        <v>29</v>
      </c>
      <c r="M202" s="3" t="s">
        <v>439</v>
      </c>
      <c r="N202" s="13">
        <v>46234</v>
      </c>
      <c r="O202" s="13">
        <v>46231</v>
      </c>
    </row>
    <row r="203" spans="1:16" x14ac:dyDescent="0.3">
      <c r="A203" s="2">
        <v>37489</v>
      </c>
      <c r="B203" s="2" t="s">
        <v>12</v>
      </c>
      <c r="C203" s="3" t="s">
        <v>13</v>
      </c>
      <c r="D203" s="2" t="s">
        <v>14</v>
      </c>
      <c r="E203" s="11">
        <v>46220</v>
      </c>
      <c r="F203" s="2" t="s">
        <v>15</v>
      </c>
      <c r="G203" s="3" t="s">
        <v>87</v>
      </c>
      <c r="H203" s="3" t="s">
        <v>21</v>
      </c>
      <c r="I203" s="7" t="s">
        <v>565</v>
      </c>
      <c r="J203" s="4" t="str">
        <f>VLOOKUP(A203,[1]Auditoría!$A$2:$J$312,10,FALSE)</f>
        <v>Falta Consumos</v>
      </c>
      <c r="K203" s="2" t="s">
        <v>17</v>
      </c>
      <c r="L203" s="3" t="s">
        <v>29</v>
      </c>
      <c r="M203" s="3" t="s">
        <v>439</v>
      </c>
      <c r="N203" s="13">
        <v>46234</v>
      </c>
      <c r="O203" s="13">
        <v>46231</v>
      </c>
    </row>
    <row r="204" spans="1:16" x14ac:dyDescent="0.3">
      <c r="A204" s="5">
        <v>37489</v>
      </c>
      <c r="B204" s="5" t="s">
        <v>12</v>
      </c>
      <c r="C204" s="6" t="s">
        <v>13</v>
      </c>
      <c r="D204" s="5" t="s">
        <v>14</v>
      </c>
      <c r="E204" s="11">
        <v>46220</v>
      </c>
      <c r="F204" s="5" t="s">
        <v>15</v>
      </c>
      <c r="G204" s="6" t="s">
        <v>87</v>
      </c>
      <c r="H204" s="6" t="s">
        <v>21</v>
      </c>
      <c r="I204" s="7" t="s">
        <v>620</v>
      </c>
      <c r="J204" s="4" t="str">
        <f>VLOOKUP(A204,[1]Auditoría!$A$2:$J$312,10,FALSE)</f>
        <v>Falta Consumos</v>
      </c>
      <c r="K204" s="5" t="s">
        <v>17</v>
      </c>
      <c r="L204" s="6" t="s">
        <v>29</v>
      </c>
      <c r="M204" s="6" t="s">
        <v>439</v>
      </c>
      <c r="N204" s="13">
        <v>46234</v>
      </c>
      <c r="O204" s="13">
        <v>46231</v>
      </c>
    </row>
    <row r="205" spans="1:16" x14ac:dyDescent="0.3">
      <c r="A205" s="21">
        <v>37497</v>
      </c>
      <c r="B205" s="21" t="s">
        <v>256</v>
      </c>
      <c r="C205" s="22" t="s">
        <v>39</v>
      </c>
      <c r="D205" s="21" t="s">
        <v>14</v>
      </c>
      <c r="E205" s="23">
        <v>46222</v>
      </c>
      <c r="F205" s="21" t="s">
        <v>15</v>
      </c>
      <c r="G205" s="22" t="s">
        <v>223</v>
      </c>
      <c r="H205" s="22" t="s">
        <v>224</v>
      </c>
      <c r="I205" s="8" t="s">
        <v>226</v>
      </c>
      <c r="J205" s="4" t="s">
        <v>667</v>
      </c>
      <c r="K205" s="2" t="s">
        <v>23</v>
      </c>
      <c r="L205" s="3" t="s">
        <v>50</v>
      </c>
      <c r="M205" s="19" t="s">
        <v>51</v>
      </c>
      <c r="N205" s="13">
        <v>46234</v>
      </c>
      <c r="O205"/>
      <c r="P205" t="s">
        <v>672</v>
      </c>
    </row>
    <row r="206" spans="1:16" x14ac:dyDescent="0.3">
      <c r="A206" s="5">
        <v>37498</v>
      </c>
      <c r="B206" s="5" t="s">
        <v>12</v>
      </c>
      <c r="C206" s="6" t="s">
        <v>13</v>
      </c>
      <c r="D206" s="5" t="s">
        <v>14</v>
      </c>
      <c r="E206" s="11">
        <v>46222</v>
      </c>
      <c r="F206" s="5" t="s">
        <v>15</v>
      </c>
      <c r="G206" s="6" t="s">
        <v>133</v>
      </c>
      <c r="H206" s="6" t="s">
        <v>41</v>
      </c>
      <c r="I206" s="7" t="s">
        <v>511</v>
      </c>
      <c r="J206" s="4" t="s">
        <v>666</v>
      </c>
      <c r="K206" s="5" t="s">
        <v>17</v>
      </c>
      <c r="L206" s="6" t="s">
        <v>29</v>
      </c>
      <c r="M206" s="6" t="s">
        <v>512</v>
      </c>
      <c r="N206" s="13">
        <v>46234</v>
      </c>
      <c r="O206"/>
    </row>
    <row r="207" spans="1:16" x14ac:dyDescent="0.3">
      <c r="A207" s="5">
        <v>37498</v>
      </c>
      <c r="B207" s="5" t="s">
        <v>12</v>
      </c>
      <c r="C207" s="6" t="s">
        <v>13</v>
      </c>
      <c r="D207" s="5" t="s">
        <v>14</v>
      </c>
      <c r="E207" s="11">
        <v>46222</v>
      </c>
      <c r="F207" s="5" t="s">
        <v>15</v>
      </c>
      <c r="G207" s="6" t="s">
        <v>133</v>
      </c>
      <c r="H207" s="6" t="s">
        <v>41</v>
      </c>
      <c r="I207" s="7" t="s">
        <v>459</v>
      </c>
      <c r="J207" s="4" t="s">
        <v>666</v>
      </c>
      <c r="K207" s="5" t="s">
        <v>17</v>
      </c>
      <c r="L207" s="6" t="s">
        <v>29</v>
      </c>
      <c r="M207" s="6" t="s">
        <v>512</v>
      </c>
      <c r="N207" s="13">
        <v>46234</v>
      </c>
      <c r="O207"/>
    </row>
    <row r="208" spans="1:16" x14ac:dyDescent="0.3">
      <c r="A208" s="5">
        <v>37498</v>
      </c>
      <c r="B208" s="5" t="s">
        <v>12</v>
      </c>
      <c r="C208" s="6" t="s">
        <v>13</v>
      </c>
      <c r="D208" s="5" t="s">
        <v>14</v>
      </c>
      <c r="E208" s="11">
        <v>46222</v>
      </c>
      <c r="F208" s="5" t="s">
        <v>15</v>
      </c>
      <c r="G208" s="6" t="s">
        <v>133</v>
      </c>
      <c r="H208" s="6" t="s">
        <v>41</v>
      </c>
      <c r="I208" s="7" t="s">
        <v>511</v>
      </c>
      <c r="J208" s="4" t="s">
        <v>666</v>
      </c>
      <c r="K208" s="5" t="s">
        <v>17</v>
      </c>
      <c r="L208" s="6" t="s">
        <v>29</v>
      </c>
      <c r="M208" s="6" t="s">
        <v>512</v>
      </c>
      <c r="N208" s="13">
        <v>46234</v>
      </c>
      <c r="O208"/>
    </row>
    <row r="209" spans="1:15" x14ac:dyDescent="0.3">
      <c r="A209" s="5">
        <v>37506</v>
      </c>
      <c r="B209" s="5" t="s">
        <v>12</v>
      </c>
      <c r="C209" s="6" t="s">
        <v>13</v>
      </c>
      <c r="D209" s="5" t="s">
        <v>14</v>
      </c>
      <c r="E209" s="11">
        <v>46222</v>
      </c>
      <c r="F209" s="9" t="s">
        <v>15</v>
      </c>
      <c r="G209" s="6" t="s">
        <v>302</v>
      </c>
      <c r="H209" s="6" t="s">
        <v>112</v>
      </c>
      <c r="I209" s="7" t="s">
        <v>440</v>
      </c>
      <c r="J209" s="4" t="s">
        <v>666</v>
      </c>
      <c r="K209" s="5" t="s">
        <v>17</v>
      </c>
      <c r="L209" s="6" t="s">
        <v>29</v>
      </c>
      <c r="M209" s="6" t="s">
        <v>441</v>
      </c>
      <c r="N209" s="13">
        <v>46234</v>
      </c>
      <c r="O209"/>
    </row>
    <row r="210" spans="1:15" x14ac:dyDescent="0.3">
      <c r="A210" s="2">
        <v>37506</v>
      </c>
      <c r="B210" s="2" t="s">
        <v>12</v>
      </c>
      <c r="C210" s="3" t="s">
        <v>13</v>
      </c>
      <c r="D210" s="2" t="s">
        <v>14</v>
      </c>
      <c r="E210" s="11">
        <v>46222</v>
      </c>
      <c r="F210" s="2" t="s">
        <v>15</v>
      </c>
      <c r="G210" s="3" t="s">
        <v>302</v>
      </c>
      <c r="H210" s="3" t="s">
        <v>112</v>
      </c>
      <c r="I210" s="7" t="s">
        <v>513</v>
      </c>
      <c r="J210" s="4" t="s">
        <v>666</v>
      </c>
      <c r="K210" s="2" t="s">
        <v>17</v>
      </c>
      <c r="L210" s="3" t="s">
        <v>29</v>
      </c>
      <c r="M210" s="3" t="s">
        <v>441</v>
      </c>
      <c r="N210" s="13">
        <v>46234</v>
      </c>
      <c r="O210"/>
    </row>
    <row r="211" spans="1:15" x14ac:dyDescent="0.3">
      <c r="A211" s="5">
        <v>37506</v>
      </c>
      <c r="B211" s="5" t="s">
        <v>12</v>
      </c>
      <c r="C211" s="6" t="s">
        <v>13</v>
      </c>
      <c r="D211" s="5" t="s">
        <v>14</v>
      </c>
      <c r="E211" s="11">
        <v>46222</v>
      </c>
      <c r="F211" s="5" t="s">
        <v>15</v>
      </c>
      <c r="G211" s="6" t="s">
        <v>302</v>
      </c>
      <c r="H211" s="6" t="s">
        <v>112</v>
      </c>
      <c r="I211" s="7" t="s">
        <v>513</v>
      </c>
      <c r="J211" s="4" t="s">
        <v>666</v>
      </c>
      <c r="K211" s="5" t="s">
        <v>17</v>
      </c>
      <c r="L211" s="6" t="s">
        <v>29</v>
      </c>
      <c r="M211" s="6" t="s">
        <v>441</v>
      </c>
      <c r="N211" s="13">
        <v>46234</v>
      </c>
      <c r="O211"/>
    </row>
    <row r="212" spans="1:15" x14ac:dyDescent="0.3">
      <c r="A212" s="2">
        <v>37513</v>
      </c>
      <c r="B212" s="2" t="s">
        <v>12</v>
      </c>
      <c r="C212" s="3" t="s">
        <v>13</v>
      </c>
      <c r="D212" s="2" t="s">
        <v>14</v>
      </c>
      <c r="E212" s="11">
        <v>46222</v>
      </c>
      <c r="F212" s="2" t="s">
        <v>15</v>
      </c>
      <c r="G212" s="3" t="s">
        <v>345</v>
      </c>
      <c r="H212" s="3" t="s">
        <v>36</v>
      </c>
      <c r="I212" s="7" t="s">
        <v>346</v>
      </c>
      <c r="J212" s="4" t="s">
        <v>666</v>
      </c>
      <c r="K212" s="2" t="s">
        <v>17</v>
      </c>
      <c r="L212" s="3" t="s">
        <v>29</v>
      </c>
      <c r="M212" s="3" t="s">
        <v>347</v>
      </c>
      <c r="N212" s="13">
        <v>46234</v>
      </c>
      <c r="O212"/>
    </row>
    <row r="213" spans="1:15" x14ac:dyDescent="0.3">
      <c r="A213" s="2">
        <v>37513</v>
      </c>
      <c r="B213" s="2" t="s">
        <v>12</v>
      </c>
      <c r="C213" s="3" t="s">
        <v>13</v>
      </c>
      <c r="D213" s="2" t="s">
        <v>14</v>
      </c>
      <c r="E213" s="11">
        <v>46222</v>
      </c>
      <c r="F213" s="2" t="s">
        <v>15</v>
      </c>
      <c r="G213" s="3" t="s">
        <v>345</v>
      </c>
      <c r="H213" s="3" t="s">
        <v>36</v>
      </c>
      <c r="I213" s="7" t="s">
        <v>298</v>
      </c>
      <c r="J213" s="4" t="s">
        <v>666</v>
      </c>
      <c r="K213" s="2" t="s">
        <v>17</v>
      </c>
      <c r="L213" s="3" t="s">
        <v>29</v>
      </c>
      <c r="M213" s="3" t="s">
        <v>347</v>
      </c>
      <c r="N213" s="13">
        <v>46234</v>
      </c>
      <c r="O213"/>
    </row>
    <row r="214" spans="1:15" x14ac:dyDescent="0.3">
      <c r="A214" s="2">
        <v>37513</v>
      </c>
      <c r="B214" s="2" t="s">
        <v>12</v>
      </c>
      <c r="C214" s="3" t="s">
        <v>13</v>
      </c>
      <c r="D214" s="2" t="s">
        <v>14</v>
      </c>
      <c r="E214" s="11">
        <v>46222</v>
      </c>
      <c r="F214" s="2" t="s">
        <v>15</v>
      </c>
      <c r="G214" s="3" t="s">
        <v>345</v>
      </c>
      <c r="H214" s="3" t="s">
        <v>36</v>
      </c>
      <c r="I214" s="7" t="s">
        <v>621</v>
      </c>
      <c r="J214" s="4" t="s">
        <v>666</v>
      </c>
      <c r="K214" s="2" t="s">
        <v>17</v>
      </c>
      <c r="L214" s="3" t="s">
        <v>29</v>
      </c>
      <c r="M214" s="3" t="s">
        <v>347</v>
      </c>
      <c r="N214" s="13">
        <v>46234</v>
      </c>
      <c r="O214"/>
    </row>
    <row r="215" spans="1:15" x14ac:dyDescent="0.3">
      <c r="A215" s="5">
        <v>37513</v>
      </c>
      <c r="B215" s="5" t="s">
        <v>12</v>
      </c>
      <c r="C215" s="6" t="s">
        <v>13</v>
      </c>
      <c r="D215" s="5" t="s">
        <v>14</v>
      </c>
      <c r="E215" s="11">
        <v>46222</v>
      </c>
      <c r="F215" s="5" t="s">
        <v>15</v>
      </c>
      <c r="G215" s="6" t="s">
        <v>345</v>
      </c>
      <c r="H215" s="6" t="s">
        <v>36</v>
      </c>
      <c r="I215" s="7" t="s">
        <v>622</v>
      </c>
      <c r="J215" s="4" t="s">
        <v>666</v>
      </c>
      <c r="K215" s="5" t="s">
        <v>17</v>
      </c>
      <c r="L215" s="6" t="s">
        <v>29</v>
      </c>
      <c r="M215" s="6" t="s">
        <v>347</v>
      </c>
      <c r="N215" s="13">
        <v>46234</v>
      </c>
      <c r="O215"/>
    </row>
    <row r="216" spans="1:15" x14ac:dyDescent="0.3">
      <c r="A216" s="5">
        <v>37531</v>
      </c>
      <c r="B216" s="5" t="s">
        <v>12</v>
      </c>
      <c r="C216" s="6" t="s">
        <v>39</v>
      </c>
      <c r="D216" s="5" t="s">
        <v>14</v>
      </c>
      <c r="E216" s="11">
        <v>46222</v>
      </c>
      <c r="F216" s="5" t="s">
        <v>15</v>
      </c>
      <c r="G216" s="6" t="s">
        <v>192</v>
      </c>
      <c r="H216" s="6" t="s">
        <v>74</v>
      </c>
      <c r="I216" s="7" t="s">
        <v>28</v>
      </c>
      <c r="J216" s="4" t="s">
        <v>666</v>
      </c>
      <c r="K216" s="5" t="s">
        <v>17</v>
      </c>
      <c r="L216" s="6" t="s">
        <v>29</v>
      </c>
      <c r="M216" s="6" t="s">
        <v>193</v>
      </c>
      <c r="N216" s="13">
        <v>46234</v>
      </c>
      <c r="O216"/>
    </row>
    <row r="217" spans="1:15" x14ac:dyDescent="0.3">
      <c r="A217" s="2">
        <v>37941</v>
      </c>
      <c r="B217" s="2" t="s">
        <v>12</v>
      </c>
      <c r="C217" s="3" t="s">
        <v>13</v>
      </c>
      <c r="D217" s="2" t="s">
        <v>14</v>
      </c>
      <c r="E217" s="11">
        <v>46222</v>
      </c>
      <c r="F217" s="2" t="s">
        <v>15</v>
      </c>
      <c r="G217" s="3" t="s">
        <v>96</v>
      </c>
      <c r="H217" s="3" t="s">
        <v>61</v>
      </c>
      <c r="I217" s="7" t="s">
        <v>114</v>
      </c>
      <c r="J217" s="4" t="s">
        <v>666</v>
      </c>
      <c r="K217" s="2" t="s">
        <v>23</v>
      </c>
      <c r="L217" s="3" t="s">
        <v>29</v>
      </c>
      <c r="M217" s="3" t="s">
        <v>76</v>
      </c>
      <c r="N217" s="13">
        <v>46234</v>
      </c>
      <c r="O217"/>
    </row>
    <row r="218" spans="1:15" x14ac:dyDescent="0.3">
      <c r="A218" s="5">
        <v>37942</v>
      </c>
      <c r="B218" s="5" t="s">
        <v>12</v>
      </c>
      <c r="C218" s="6" t="s">
        <v>13</v>
      </c>
      <c r="D218" s="5" t="s">
        <v>14</v>
      </c>
      <c r="E218" s="11">
        <v>46222</v>
      </c>
      <c r="F218" s="5" t="s">
        <v>15</v>
      </c>
      <c r="G218" s="6" t="s">
        <v>134</v>
      </c>
      <c r="H218" s="6" t="s">
        <v>61</v>
      </c>
      <c r="I218" s="7" t="s">
        <v>135</v>
      </c>
      <c r="J218" s="4" t="s">
        <v>666</v>
      </c>
      <c r="K218" s="5" t="s">
        <v>23</v>
      </c>
      <c r="L218" s="6" t="s">
        <v>29</v>
      </c>
      <c r="M218" s="6" t="s">
        <v>136</v>
      </c>
      <c r="N218" s="13">
        <v>46234</v>
      </c>
      <c r="O218"/>
    </row>
    <row r="219" spans="1:15" x14ac:dyDescent="0.3">
      <c r="A219" s="5">
        <v>37523</v>
      </c>
      <c r="B219" s="5" t="s">
        <v>12</v>
      </c>
      <c r="C219" s="6" t="s">
        <v>13</v>
      </c>
      <c r="D219" s="5" t="s">
        <v>14</v>
      </c>
      <c r="E219" s="11">
        <v>46223</v>
      </c>
      <c r="F219" s="5" t="s">
        <v>15</v>
      </c>
      <c r="G219" s="6" t="s">
        <v>296</v>
      </c>
      <c r="H219" s="6" t="s">
        <v>32</v>
      </c>
      <c r="I219" s="7" t="s">
        <v>514</v>
      </c>
      <c r="J219" s="4" t="s">
        <v>666</v>
      </c>
      <c r="K219" s="5" t="s">
        <v>17</v>
      </c>
      <c r="L219" s="6" t="s">
        <v>29</v>
      </c>
      <c r="M219" s="6" t="s">
        <v>515</v>
      </c>
      <c r="N219" s="13">
        <v>46234</v>
      </c>
      <c r="O219"/>
    </row>
    <row r="220" spans="1:15" x14ac:dyDescent="0.3">
      <c r="A220" s="5">
        <v>37529</v>
      </c>
      <c r="B220" s="5" t="s">
        <v>12</v>
      </c>
      <c r="C220" s="6" t="s">
        <v>13</v>
      </c>
      <c r="D220" s="5" t="s">
        <v>14</v>
      </c>
      <c r="E220" s="11">
        <v>46223</v>
      </c>
      <c r="F220" s="5" t="s">
        <v>15</v>
      </c>
      <c r="G220" s="6" t="s">
        <v>309</v>
      </c>
      <c r="H220" s="6" t="s">
        <v>199</v>
      </c>
      <c r="I220" s="7" t="s">
        <v>348</v>
      </c>
      <c r="J220" s="4" t="str">
        <f>VLOOKUP(A220,[1]Auditoría!$A$2:$J$312,10,FALSE)</f>
        <v>Falta Consumos</v>
      </c>
      <c r="K220" s="5" t="s">
        <v>17</v>
      </c>
      <c r="L220" s="6" t="s">
        <v>29</v>
      </c>
      <c r="M220" s="6" t="s">
        <v>349</v>
      </c>
      <c r="N220" s="13">
        <v>46234</v>
      </c>
      <c r="O220" s="13">
        <v>46231</v>
      </c>
    </row>
    <row r="221" spans="1:15" x14ac:dyDescent="0.3">
      <c r="A221" s="5">
        <v>37529</v>
      </c>
      <c r="B221" s="5" t="s">
        <v>12</v>
      </c>
      <c r="C221" s="6" t="s">
        <v>13</v>
      </c>
      <c r="D221" s="5" t="s">
        <v>14</v>
      </c>
      <c r="E221" s="11">
        <v>46223</v>
      </c>
      <c r="F221" s="5" t="s">
        <v>15</v>
      </c>
      <c r="G221" s="6" t="s">
        <v>309</v>
      </c>
      <c r="H221" s="6" t="s">
        <v>199</v>
      </c>
      <c r="I221" s="7" t="s">
        <v>46</v>
      </c>
      <c r="J221" s="4" t="str">
        <f>VLOOKUP(A221,[1]Auditoría!$A$2:$J$312,10,FALSE)</f>
        <v>Falta Consumos</v>
      </c>
      <c r="K221" s="5" t="s">
        <v>17</v>
      </c>
      <c r="L221" s="6" t="s">
        <v>29</v>
      </c>
      <c r="M221" s="6" t="s">
        <v>349</v>
      </c>
      <c r="N221" s="13">
        <v>46234</v>
      </c>
      <c r="O221" s="13">
        <v>46231</v>
      </c>
    </row>
    <row r="222" spans="1:15" x14ac:dyDescent="0.3">
      <c r="A222" s="2">
        <v>37541</v>
      </c>
      <c r="B222" s="2" t="s">
        <v>12</v>
      </c>
      <c r="C222" s="3" t="s">
        <v>13</v>
      </c>
      <c r="D222" s="2" t="s">
        <v>14</v>
      </c>
      <c r="E222" s="11">
        <v>46223</v>
      </c>
      <c r="F222" s="2" t="s">
        <v>15</v>
      </c>
      <c r="G222" s="3" t="s">
        <v>300</v>
      </c>
      <c r="H222" s="3" t="s">
        <v>36</v>
      </c>
      <c r="I222" s="7" t="s">
        <v>516</v>
      </c>
      <c r="J222" s="4" t="s">
        <v>666</v>
      </c>
      <c r="K222" s="2" t="s">
        <v>17</v>
      </c>
      <c r="L222" s="3" t="s">
        <v>29</v>
      </c>
      <c r="M222" s="3" t="s">
        <v>517</v>
      </c>
      <c r="N222" s="13">
        <v>46234</v>
      </c>
      <c r="O222"/>
    </row>
    <row r="223" spans="1:15" x14ac:dyDescent="0.3">
      <c r="A223" s="2">
        <v>37548</v>
      </c>
      <c r="B223" s="2" t="s">
        <v>12</v>
      </c>
      <c r="C223" s="3" t="s">
        <v>13</v>
      </c>
      <c r="D223" s="2" t="s">
        <v>14</v>
      </c>
      <c r="E223" s="11">
        <v>46223</v>
      </c>
      <c r="F223" s="2" t="s">
        <v>15</v>
      </c>
      <c r="G223" s="3" t="s">
        <v>350</v>
      </c>
      <c r="H223" s="3" t="s">
        <v>351</v>
      </c>
      <c r="I223" s="7" t="s">
        <v>352</v>
      </c>
      <c r="J223" s="4" t="s">
        <v>666</v>
      </c>
      <c r="K223" s="2" t="s">
        <v>17</v>
      </c>
      <c r="L223" s="3" t="s">
        <v>29</v>
      </c>
      <c r="M223" s="3" t="s">
        <v>353</v>
      </c>
      <c r="N223" s="13">
        <v>46234</v>
      </c>
      <c r="O223"/>
    </row>
    <row r="224" spans="1:15" x14ac:dyDescent="0.3">
      <c r="A224" s="5">
        <v>37549</v>
      </c>
      <c r="B224" s="5" t="s">
        <v>18</v>
      </c>
      <c r="C224" s="6" t="s">
        <v>13</v>
      </c>
      <c r="D224" s="5" t="s">
        <v>14</v>
      </c>
      <c r="E224" s="11">
        <v>46223</v>
      </c>
      <c r="F224" s="5" t="s">
        <v>15</v>
      </c>
      <c r="G224" s="6" t="s">
        <v>350</v>
      </c>
      <c r="H224" s="6" t="s">
        <v>351</v>
      </c>
      <c r="I224" s="7" t="s">
        <v>205</v>
      </c>
      <c r="J224" s="4" t="s">
        <v>666</v>
      </c>
      <c r="K224" s="5" t="s">
        <v>17</v>
      </c>
      <c r="L224" s="6" t="s">
        <v>29</v>
      </c>
      <c r="M224" s="6" t="s">
        <v>518</v>
      </c>
      <c r="N224" s="13">
        <v>46234</v>
      </c>
      <c r="O224"/>
    </row>
    <row r="225" spans="1:16" x14ac:dyDescent="0.3">
      <c r="A225" s="2">
        <v>37550</v>
      </c>
      <c r="B225" s="2" t="s">
        <v>12</v>
      </c>
      <c r="C225" s="3" t="s">
        <v>13</v>
      </c>
      <c r="D225" s="2" t="s">
        <v>14</v>
      </c>
      <c r="E225" s="11">
        <v>46223</v>
      </c>
      <c r="F225" s="2" t="s">
        <v>15</v>
      </c>
      <c r="G225" s="3" t="s">
        <v>194</v>
      </c>
      <c r="H225" s="3" t="s">
        <v>21</v>
      </c>
      <c r="I225" s="7" t="s">
        <v>195</v>
      </c>
      <c r="J225" s="4" t="s">
        <v>666</v>
      </c>
      <c r="K225" s="2" t="s">
        <v>17</v>
      </c>
      <c r="L225" s="3" t="s">
        <v>29</v>
      </c>
      <c r="M225" s="3" t="s">
        <v>196</v>
      </c>
      <c r="N225" s="13">
        <v>46234</v>
      </c>
      <c r="O225"/>
    </row>
    <row r="226" spans="1:16" x14ac:dyDescent="0.3">
      <c r="A226" s="5">
        <v>37550</v>
      </c>
      <c r="B226" s="5" t="s">
        <v>12</v>
      </c>
      <c r="C226" s="6" t="s">
        <v>13</v>
      </c>
      <c r="D226" s="5" t="s">
        <v>14</v>
      </c>
      <c r="E226" s="11">
        <v>46223</v>
      </c>
      <c r="F226" s="5" t="s">
        <v>15</v>
      </c>
      <c r="G226" s="6" t="s">
        <v>194</v>
      </c>
      <c r="H226" s="6" t="s">
        <v>21</v>
      </c>
      <c r="I226" s="7" t="s">
        <v>354</v>
      </c>
      <c r="J226" s="4" t="s">
        <v>666</v>
      </c>
      <c r="K226" s="5" t="s">
        <v>17</v>
      </c>
      <c r="L226" s="6" t="s">
        <v>29</v>
      </c>
      <c r="M226" s="6" t="s">
        <v>196</v>
      </c>
      <c r="N226" s="13">
        <v>46234</v>
      </c>
      <c r="O226"/>
    </row>
    <row r="227" spans="1:16" x14ac:dyDescent="0.3">
      <c r="A227" s="5">
        <v>37550</v>
      </c>
      <c r="B227" s="5" t="s">
        <v>12</v>
      </c>
      <c r="C227" s="6" t="s">
        <v>13</v>
      </c>
      <c r="D227" s="5" t="s">
        <v>14</v>
      </c>
      <c r="E227" s="11">
        <v>46223</v>
      </c>
      <c r="F227" s="5" t="s">
        <v>15</v>
      </c>
      <c r="G227" s="6" t="s">
        <v>194</v>
      </c>
      <c r="H227" s="6" t="s">
        <v>21</v>
      </c>
      <c r="I227" s="7" t="s">
        <v>354</v>
      </c>
      <c r="J227" s="4" t="s">
        <v>666</v>
      </c>
      <c r="K227" s="5" t="s">
        <v>17</v>
      </c>
      <c r="L227" s="6" t="s">
        <v>29</v>
      </c>
      <c r="M227" s="6" t="s">
        <v>196</v>
      </c>
      <c r="N227" s="13">
        <v>46234</v>
      </c>
      <c r="O227"/>
    </row>
    <row r="228" spans="1:16" x14ac:dyDescent="0.3">
      <c r="A228" s="5">
        <v>37554</v>
      </c>
      <c r="B228" s="5" t="s">
        <v>12</v>
      </c>
      <c r="C228" s="6" t="s">
        <v>13</v>
      </c>
      <c r="D228" s="5" t="s">
        <v>14</v>
      </c>
      <c r="E228" s="11">
        <v>46223</v>
      </c>
      <c r="F228" s="5" t="s">
        <v>15</v>
      </c>
      <c r="G228" s="6" t="s">
        <v>250</v>
      </c>
      <c r="H228" s="6" t="s">
        <v>91</v>
      </c>
      <c r="I228" s="7" t="s">
        <v>354</v>
      </c>
      <c r="J228" s="4" t="s">
        <v>666</v>
      </c>
      <c r="K228" s="5" t="s">
        <v>17</v>
      </c>
      <c r="L228" s="6" t="s">
        <v>29</v>
      </c>
      <c r="M228" s="6" t="s">
        <v>442</v>
      </c>
      <c r="N228" s="13">
        <v>46234</v>
      </c>
      <c r="O228"/>
    </row>
    <row r="229" spans="1:16" x14ac:dyDescent="0.3">
      <c r="A229" s="2">
        <v>37554</v>
      </c>
      <c r="B229" s="2" t="s">
        <v>12</v>
      </c>
      <c r="C229" s="3" t="s">
        <v>13</v>
      </c>
      <c r="D229" s="2" t="s">
        <v>14</v>
      </c>
      <c r="E229" s="11">
        <v>46223</v>
      </c>
      <c r="F229" s="2" t="s">
        <v>15</v>
      </c>
      <c r="G229" s="3" t="s">
        <v>250</v>
      </c>
      <c r="H229" s="3" t="s">
        <v>91</v>
      </c>
      <c r="I229" s="7" t="s">
        <v>443</v>
      </c>
      <c r="J229" s="4" t="s">
        <v>666</v>
      </c>
      <c r="K229" s="2" t="s">
        <v>17</v>
      </c>
      <c r="L229" s="3" t="s">
        <v>29</v>
      </c>
      <c r="M229" s="3" t="s">
        <v>442</v>
      </c>
      <c r="N229" s="13">
        <v>46234</v>
      </c>
      <c r="O229"/>
    </row>
    <row r="230" spans="1:16" x14ac:dyDescent="0.3">
      <c r="A230" s="2">
        <v>37558</v>
      </c>
      <c r="B230" s="2" t="s">
        <v>12</v>
      </c>
      <c r="C230" s="3" t="s">
        <v>13</v>
      </c>
      <c r="D230" s="2" t="s">
        <v>14</v>
      </c>
      <c r="E230" s="11">
        <v>46224</v>
      </c>
      <c r="F230" s="2" t="s">
        <v>15</v>
      </c>
      <c r="G230" s="3" t="s">
        <v>502</v>
      </c>
      <c r="H230" s="3" t="s">
        <v>503</v>
      </c>
      <c r="I230" s="7" t="s">
        <v>297</v>
      </c>
      <c r="J230" s="4" t="s">
        <v>666</v>
      </c>
      <c r="K230" s="2" t="s">
        <v>17</v>
      </c>
      <c r="L230" s="3" t="s">
        <v>29</v>
      </c>
      <c r="M230" s="3" t="s">
        <v>504</v>
      </c>
      <c r="N230" s="13">
        <v>46234</v>
      </c>
      <c r="O230"/>
    </row>
    <row r="231" spans="1:16" x14ac:dyDescent="0.3">
      <c r="A231" s="2">
        <v>37558</v>
      </c>
      <c r="B231" s="2" t="s">
        <v>12</v>
      </c>
      <c r="C231" s="3" t="s">
        <v>13</v>
      </c>
      <c r="D231" s="2" t="s">
        <v>14</v>
      </c>
      <c r="E231" s="11">
        <v>46224</v>
      </c>
      <c r="F231" s="2" t="s">
        <v>15</v>
      </c>
      <c r="G231" s="3" t="s">
        <v>502</v>
      </c>
      <c r="H231" s="3" t="s">
        <v>503</v>
      </c>
      <c r="I231" s="7" t="s">
        <v>653</v>
      </c>
      <c r="J231" s="4" t="s">
        <v>666</v>
      </c>
      <c r="K231" s="2" t="s">
        <v>17</v>
      </c>
      <c r="L231" s="3" t="s">
        <v>29</v>
      </c>
      <c r="M231" s="3" t="s">
        <v>504</v>
      </c>
      <c r="N231" s="13">
        <v>46234</v>
      </c>
      <c r="O231"/>
    </row>
    <row r="232" spans="1:16" ht="100.8" x14ac:dyDescent="0.3">
      <c r="A232" s="21">
        <v>37758</v>
      </c>
      <c r="B232" s="21" t="s">
        <v>12</v>
      </c>
      <c r="C232" s="22" t="s">
        <v>39</v>
      </c>
      <c r="D232" s="21" t="s">
        <v>14</v>
      </c>
      <c r="E232" s="23">
        <v>46224</v>
      </c>
      <c r="F232" s="21" t="s">
        <v>15</v>
      </c>
      <c r="G232" s="22" t="s">
        <v>342</v>
      </c>
      <c r="H232" s="22" t="s">
        <v>66</v>
      </c>
      <c r="I232" s="4" t="s">
        <v>416</v>
      </c>
      <c r="J232" s="4" t="s">
        <v>667</v>
      </c>
      <c r="K232" s="2" t="s">
        <v>17</v>
      </c>
      <c r="L232" s="3" t="s">
        <v>321</v>
      </c>
      <c r="M232" s="19" t="s">
        <v>468</v>
      </c>
      <c r="N232" s="13">
        <v>46234</v>
      </c>
      <c r="O232"/>
      <c r="P232" t="s">
        <v>672</v>
      </c>
    </row>
    <row r="233" spans="1:16" ht="100.8" x14ac:dyDescent="0.3">
      <c r="A233" s="21">
        <v>37758</v>
      </c>
      <c r="B233" s="21" t="s">
        <v>12</v>
      </c>
      <c r="C233" s="22" t="s">
        <v>39</v>
      </c>
      <c r="D233" s="21" t="s">
        <v>14</v>
      </c>
      <c r="E233" s="23">
        <v>46224</v>
      </c>
      <c r="F233" s="21" t="s">
        <v>15</v>
      </c>
      <c r="G233" s="22" t="s">
        <v>342</v>
      </c>
      <c r="H233" s="22" t="s">
        <v>66</v>
      </c>
      <c r="I233" s="4" t="s">
        <v>469</v>
      </c>
      <c r="J233" s="4" t="s">
        <v>667</v>
      </c>
      <c r="K233" s="5" t="s">
        <v>17</v>
      </c>
      <c r="L233" s="6" t="s">
        <v>470</v>
      </c>
      <c r="M233" s="18" t="s">
        <v>468</v>
      </c>
      <c r="N233" s="13">
        <v>46234</v>
      </c>
      <c r="O233"/>
      <c r="P233" t="s">
        <v>672</v>
      </c>
    </row>
    <row r="234" spans="1:16" ht="28.8" x14ac:dyDescent="0.3">
      <c r="A234" s="21">
        <v>37770</v>
      </c>
      <c r="B234" s="21" t="s">
        <v>18</v>
      </c>
      <c r="C234" s="22" t="s">
        <v>19</v>
      </c>
      <c r="D234" s="21" t="s">
        <v>14</v>
      </c>
      <c r="E234" s="23">
        <v>46224</v>
      </c>
      <c r="F234" s="21" t="s">
        <v>15</v>
      </c>
      <c r="G234" s="22" t="s">
        <v>471</v>
      </c>
      <c r="H234" s="22" t="s">
        <v>472</v>
      </c>
      <c r="I234" s="4" t="s">
        <v>22</v>
      </c>
      <c r="J234" s="4" t="s">
        <v>667</v>
      </c>
      <c r="K234" s="2" t="s">
        <v>23</v>
      </c>
      <c r="L234" s="3" t="s">
        <v>24</v>
      </c>
      <c r="M234" s="19" t="s">
        <v>25</v>
      </c>
      <c r="N234" s="13">
        <v>46234</v>
      </c>
      <c r="O234"/>
      <c r="P234" t="s">
        <v>672</v>
      </c>
    </row>
    <row r="235" spans="1:16" ht="57.6" x14ac:dyDescent="0.3">
      <c r="A235" s="21">
        <v>37772</v>
      </c>
      <c r="B235" s="21" t="s">
        <v>12</v>
      </c>
      <c r="C235" s="22" t="s">
        <v>13</v>
      </c>
      <c r="D235" s="21" t="s">
        <v>14</v>
      </c>
      <c r="E235" s="23">
        <v>46224</v>
      </c>
      <c r="F235" s="21" t="s">
        <v>15</v>
      </c>
      <c r="G235" s="22" t="s">
        <v>77</v>
      </c>
      <c r="H235" s="22" t="s">
        <v>21</v>
      </c>
      <c r="I235" s="4" t="s">
        <v>78</v>
      </c>
      <c r="J235" s="4" t="s">
        <v>668</v>
      </c>
      <c r="K235" s="5" t="s">
        <v>17</v>
      </c>
      <c r="L235" s="6" t="s">
        <v>79</v>
      </c>
      <c r="M235" s="18" t="s">
        <v>80</v>
      </c>
      <c r="N235" s="13">
        <v>46234</v>
      </c>
      <c r="O235"/>
    </row>
    <row r="236" spans="1:16" ht="57.6" x14ac:dyDescent="0.3">
      <c r="A236" s="21">
        <v>37772</v>
      </c>
      <c r="B236" s="21" t="s">
        <v>12</v>
      </c>
      <c r="C236" s="22" t="s">
        <v>13</v>
      </c>
      <c r="D236" s="21" t="s">
        <v>14</v>
      </c>
      <c r="E236" s="23">
        <v>46224</v>
      </c>
      <c r="F236" s="21" t="s">
        <v>15</v>
      </c>
      <c r="G236" s="22" t="s">
        <v>77</v>
      </c>
      <c r="H236" s="22" t="s">
        <v>21</v>
      </c>
      <c r="I236" s="4" t="s">
        <v>81</v>
      </c>
      <c r="J236" s="4" t="s">
        <v>668</v>
      </c>
      <c r="K236" s="2" t="s">
        <v>17</v>
      </c>
      <c r="L236" s="3" t="s">
        <v>82</v>
      </c>
      <c r="M236" s="19" t="s">
        <v>80</v>
      </c>
      <c r="N236" s="13">
        <v>46234</v>
      </c>
      <c r="O236"/>
    </row>
    <row r="237" spans="1:16" ht="57.6" x14ac:dyDescent="0.3">
      <c r="A237" s="21">
        <v>37772</v>
      </c>
      <c r="B237" s="21" t="s">
        <v>12</v>
      </c>
      <c r="C237" s="22" t="s">
        <v>13</v>
      </c>
      <c r="D237" s="21" t="s">
        <v>14</v>
      </c>
      <c r="E237" s="23">
        <v>46224</v>
      </c>
      <c r="F237" s="21" t="s">
        <v>15</v>
      </c>
      <c r="G237" s="22" t="s">
        <v>77</v>
      </c>
      <c r="H237" s="22" t="s">
        <v>21</v>
      </c>
      <c r="I237" s="4" t="s">
        <v>473</v>
      </c>
      <c r="J237" s="4" t="s">
        <v>668</v>
      </c>
      <c r="K237" s="2" t="s">
        <v>17</v>
      </c>
      <c r="L237" s="3" t="s">
        <v>103</v>
      </c>
      <c r="M237" s="19" t="s">
        <v>80</v>
      </c>
      <c r="N237" s="13">
        <v>46234</v>
      </c>
      <c r="O237"/>
    </row>
    <row r="238" spans="1:16" x14ac:dyDescent="0.3">
      <c r="A238" s="5">
        <v>37777</v>
      </c>
      <c r="B238" s="5" t="s">
        <v>12</v>
      </c>
      <c r="C238" s="6" t="s">
        <v>13</v>
      </c>
      <c r="D238" s="5" t="s">
        <v>14</v>
      </c>
      <c r="E238" s="11">
        <v>46224</v>
      </c>
      <c r="F238" s="5" t="s">
        <v>15</v>
      </c>
      <c r="G238" s="6" t="s">
        <v>260</v>
      </c>
      <c r="H238" s="6" t="s">
        <v>74</v>
      </c>
      <c r="I238" s="7" t="s">
        <v>261</v>
      </c>
      <c r="J238" s="4" t="s">
        <v>666</v>
      </c>
      <c r="K238" s="5" t="s">
        <v>17</v>
      </c>
      <c r="L238" s="6" t="s">
        <v>29</v>
      </c>
      <c r="M238" s="6" t="s">
        <v>262</v>
      </c>
      <c r="N238" s="13">
        <v>46234</v>
      </c>
      <c r="O238"/>
    </row>
    <row r="239" spans="1:16" x14ac:dyDescent="0.3">
      <c r="A239" s="2">
        <v>37777</v>
      </c>
      <c r="B239" s="2" t="s">
        <v>12</v>
      </c>
      <c r="C239" s="3" t="s">
        <v>13</v>
      </c>
      <c r="D239" s="2" t="s">
        <v>14</v>
      </c>
      <c r="E239" s="11">
        <v>46224</v>
      </c>
      <c r="F239" s="2" t="s">
        <v>15</v>
      </c>
      <c r="G239" s="3" t="s">
        <v>260</v>
      </c>
      <c r="H239" s="3" t="s">
        <v>74</v>
      </c>
      <c r="I239" s="7" t="s">
        <v>261</v>
      </c>
      <c r="J239" s="4" t="s">
        <v>666</v>
      </c>
      <c r="K239" s="2" t="s">
        <v>17</v>
      </c>
      <c r="L239" s="3" t="s">
        <v>29</v>
      </c>
      <c r="M239" s="3" t="s">
        <v>262</v>
      </c>
      <c r="N239" s="13">
        <v>46234</v>
      </c>
      <c r="O239"/>
    </row>
    <row r="240" spans="1:16" x14ac:dyDescent="0.3">
      <c r="A240" s="5">
        <v>37780</v>
      </c>
      <c r="B240" s="5" t="s">
        <v>12</v>
      </c>
      <c r="C240" s="6" t="s">
        <v>13</v>
      </c>
      <c r="D240" s="5" t="s">
        <v>14</v>
      </c>
      <c r="E240" s="11">
        <v>46224</v>
      </c>
      <c r="F240" s="5" t="s">
        <v>15</v>
      </c>
      <c r="G240" s="6" t="s">
        <v>309</v>
      </c>
      <c r="H240" s="6" t="s">
        <v>199</v>
      </c>
      <c r="I240" s="7" t="s">
        <v>474</v>
      </c>
      <c r="J240" s="4" t="s">
        <v>666</v>
      </c>
      <c r="K240" s="5" t="s">
        <v>17</v>
      </c>
      <c r="L240" s="6" t="s">
        <v>29</v>
      </c>
      <c r="M240" s="6" t="s">
        <v>475</v>
      </c>
      <c r="N240" s="13">
        <v>46234</v>
      </c>
      <c r="O240"/>
    </row>
    <row r="241" spans="1:16" x14ac:dyDescent="0.3">
      <c r="A241" s="5">
        <v>37782</v>
      </c>
      <c r="B241" s="5" t="s">
        <v>12</v>
      </c>
      <c r="C241" s="6" t="s">
        <v>13</v>
      </c>
      <c r="D241" s="5" t="s">
        <v>14</v>
      </c>
      <c r="E241" s="11">
        <v>46224</v>
      </c>
      <c r="F241" s="5" t="s">
        <v>15</v>
      </c>
      <c r="G241" s="6" t="s">
        <v>83</v>
      </c>
      <c r="H241" s="6" t="s">
        <v>61</v>
      </c>
      <c r="I241" s="7" t="s">
        <v>84</v>
      </c>
      <c r="J241" s="4" t="s">
        <v>666</v>
      </c>
      <c r="K241" s="5" t="s">
        <v>17</v>
      </c>
      <c r="L241" s="6" t="s">
        <v>29</v>
      </c>
      <c r="M241" s="6" t="s">
        <v>85</v>
      </c>
      <c r="N241" s="13">
        <v>46234</v>
      </c>
      <c r="O241"/>
    </row>
    <row r="242" spans="1:16" x14ac:dyDescent="0.3">
      <c r="A242" s="5">
        <v>37784</v>
      </c>
      <c r="B242" s="5" t="s">
        <v>12</v>
      </c>
      <c r="C242" s="6" t="s">
        <v>13</v>
      </c>
      <c r="D242" s="5" t="s">
        <v>14</v>
      </c>
      <c r="E242" s="11">
        <v>46224</v>
      </c>
      <c r="F242" s="5" t="s">
        <v>15</v>
      </c>
      <c r="G242" s="6" t="s">
        <v>137</v>
      </c>
      <c r="H242" s="6" t="s">
        <v>16</v>
      </c>
      <c r="I242" s="7" t="s">
        <v>100</v>
      </c>
      <c r="J242" s="4" t="s">
        <v>666</v>
      </c>
      <c r="K242" s="5" t="s">
        <v>17</v>
      </c>
      <c r="L242" s="6" t="s">
        <v>29</v>
      </c>
      <c r="M242" s="6" t="s">
        <v>642</v>
      </c>
      <c r="N242" s="13">
        <v>46234</v>
      </c>
      <c r="O242"/>
    </row>
    <row r="243" spans="1:16" x14ac:dyDescent="0.3">
      <c r="A243" s="5">
        <v>37790</v>
      </c>
      <c r="B243" s="5" t="s">
        <v>12</v>
      </c>
      <c r="C243" s="6" t="s">
        <v>39</v>
      </c>
      <c r="D243" s="5" t="s">
        <v>14</v>
      </c>
      <c r="E243" s="11">
        <v>46224</v>
      </c>
      <c r="F243" s="5" t="s">
        <v>15</v>
      </c>
      <c r="G243" s="6" t="s">
        <v>585</v>
      </c>
      <c r="H243" s="6" t="s">
        <v>74</v>
      </c>
      <c r="I243" s="7" t="s">
        <v>28</v>
      </c>
      <c r="J243" s="4" t="s">
        <v>666</v>
      </c>
      <c r="K243" s="5" t="s">
        <v>17</v>
      </c>
      <c r="L243" s="6" t="s">
        <v>29</v>
      </c>
      <c r="M243" s="6" t="s">
        <v>193</v>
      </c>
      <c r="N243" s="13">
        <v>46234</v>
      </c>
      <c r="O243"/>
    </row>
    <row r="244" spans="1:16" x14ac:dyDescent="0.3">
      <c r="A244" s="2">
        <v>37946</v>
      </c>
      <c r="B244" s="2" t="s">
        <v>12</v>
      </c>
      <c r="C244" s="3" t="s">
        <v>13</v>
      </c>
      <c r="D244" s="2" t="s">
        <v>14</v>
      </c>
      <c r="E244" s="11">
        <v>46224</v>
      </c>
      <c r="F244" s="2" t="s">
        <v>15</v>
      </c>
      <c r="G244" s="3" t="s">
        <v>137</v>
      </c>
      <c r="H244" s="3" t="s">
        <v>16</v>
      </c>
      <c r="I244" s="7" t="s">
        <v>138</v>
      </c>
      <c r="J244" s="4" t="s">
        <v>666</v>
      </c>
      <c r="K244" s="2" t="s">
        <v>17</v>
      </c>
      <c r="L244" s="3" t="s">
        <v>29</v>
      </c>
      <c r="M244" s="3" t="s">
        <v>139</v>
      </c>
      <c r="N244" s="13">
        <v>46234</v>
      </c>
      <c r="O244"/>
    </row>
    <row r="245" spans="1:16" x14ac:dyDescent="0.3">
      <c r="A245" s="5">
        <v>37946</v>
      </c>
      <c r="B245" s="5" t="s">
        <v>12</v>
      </c>
      <c r="C245" s="6" t="s">
        <v>13</v>
      </c>
      <c r="D245" s="5" t="s">
        <v>14</v>
      </c>
      <c r="E245" s="11">
        <v>46224</v>
      </c>
      <c r="F245" s="5" t="s">
        <v>15</v>
      </c>
      <c r="G245" s="6" t="s">
        <v>137</v>
      </c>
      <c r="H245" s="6" t="s">
        <v>16</v>
      </c>
      <c r="I245" s="7" t="s">
        <v>114</v>
      </c>
      <c r="J245" s="4" t="s">
        <v>666</v>
      </c>
      <c r="K245" s="5" t="s">
        <v>17</v>
      </c>
      <c r="L245" s="6" t="s">
        <v>29</v>
      </c>
      <c r="M245" s="6" t="s">
        <v>139</v>
      </c>
      <c r="N245" s="13">
        <v>46234</v>
      </c>
      <c r="O245"/>
    </row>
    <row r="246" spans="1:16" x14ac:dyDescent="0.3">
      <c r="A246" s="2">
        <v>37964</v>
      </c>
      <c r="B246" s="2" t="s">
        <v>12</v>
      </c>
      <c r="C246" s="3" t="s">
        <v>13</v>
      </c>
      <c r="D246" s="2" t="s">
        <v>14</v>
      </c>
      <c r="E246" s="11">
        <v>46224</v>
      </c>
      <c r="F246" s="2" t="s">
        <v>15</v>
      </c>
      <c r="G246" s="3" t="s">
        <v>355</v>
      </c>
      <c r="H246" s="3" t="s">
        <v>61</v>
      </c>
      <c r="I246" s="7" t="s">
        <v>182</v>
      </c>
      <c r="J246" s="4" t="s">
        <v>666</v>
      </c>
      <c r="K246" s="2" t="s">
        <v>23</v>
      </c>
      <c r="L246" s="3" t="s">
        <v>29</v>
      </c>
      <c r="M246" s="3" t="s">
        <v>419</v>
      </c>
      <c r="N246" s="13">
        <v>46234</v>
      </c>
      <c r="O246"/>
    </row>
    <row r="247" spans="1:16" x14ac:dyDescent="0.3">
      <c r="A247" s="21">
        <v>37967</v>
      </c>
      <c r="B247" s="21" t="s">
        <v>12</v>
      </c>
      <c r="C247" s="22" t="s">
        <v>13</v>
      </c>
      <c r="D247" s="21" t="s">
        <v>14</v>
      </c>
      <c r="E247" s="23">
        <v>46224</v>
      </c>
      <c r="F247" s="21" t="s">
        <v>15</v>
      </c>
      <c r="G247" s="22" t="s">
        <v>90</v>
      </c>
      <c r="H247" s="22" t="s">
        <v>91</v>
      </c>
      <c r="I247" s="8" t="s">
        <v>410</v>
      </c>
      <c r="J247" s="4" t="s">
        <v>673</v>
      </c>
      <c r="K247" s="5" t="s">
        <v>23</v>
      </c>
      <c r="L247" s="6" t="s">
        <v>50</v>
      </c>
      <c r="M247" s="18" t="s">
        <v>51</v>
      </c>
      <c r="N247" s="13">
        <v>46234</v>
      </c>
      <c r="O247"/>
      <c r="P247" t="s">
        <v>672</v>
      </c>
    </row>
    <row r="248" spans="1:16" ht="43.2" x14ac:dyDescent="0.3">
      <c r="A248" s="21">
        <v>37787</v>
      </c>
      <c r="B248" s="21" t="s">
        <v>12</v>
      </c>
      <c r="C248" s="22" t="s">
        <v>19</v>
      </c>
      <c r="D248" s="21" t="s">
        <v>14</v>
      </c>
      <c r="E248" s="23">
        <v>46225</v>
      </c>
      <c r="F248" s="21" t="s">
        <v>15</v>
      </c>
      <c r="G248" s="22" t="s">
        <v>476</v>
      </c>
      <c r="H248" s="22" t="s">
        <v>66</v>
      </c>
      <c r="I248" s="4" t="s">
        <v>477</v>
      </c>
      <c r="J248" s="4" t="s">
        <v>668</v>
      </c>
      <c r="K248" s="2" t="s">
        <v>17</v>
      </c>
      <c r="L248" s="3" t="s">
        <v>478</v>
      </c>
      <c r="M248" s="19" t="s">
        <v>479</v>
      </c>
      <c r="N248" s="13">
        <v>46234</v>
      </c>
      <c r="O248"/>
      <c r="P248" t="s">
        <v>672</v>
      </c>
    </row>
    <row r="249" spans="1:16" ht="43.2" x14ac:dyDescent="0.3">
      <c r="A249" s="21">
        <v>37787</v>
      </c>
      <c r="B249" s="21" t="s">
        <v>12</v>
      </c>
      <c r="C249" s="22" t="s">
        <v>19</v>
      </c>
      <c r="D249" s="21" t="s">
        <v>14</v>
      </c>
      <c r="E249" s="23">
        <v>46225</v>
      </c>
      <c r="F249" s="21" t="s">
        <v>15</v>
      </c>
      <c r="G249" s="22" t="s">
        <v>476</v>
      </c>
      <c r="H249" s="22" t="s">
        <v>66</v>
      </c>
      <c r="I249" s="4" t="s">
        <v>480</v>
      </c>
      <c r="J249" s="4" t="s">
        <v>668</v>
      </c>
      <c r="K249" s="5" t="s">
        <v>17</v>
      </c>
      <c r="L249" s="6" t="s">
        <v>405</v>
      </c>
      <c r="M249" s="18" t="s">
        <v>479</v>
      </c>
      <c r="N249" s="13">
        <v>46234</v>
      </c>
      <c r="O249"/>
      <c r="P249" t="s">
        <v>672</v>
      </c>
    </row>
    <row r="250" spans="1:16" x14ac:dyDescent="0.3">
      <c r="A250" s="5">
        <v>37812</v>
      </c>
      <c r="B250" s="5" t="s">
        <v>12</v>
      </c>
      <c r="C250" s="6" t="s">
        <v>13</v>
      </c>
      <c r="D250" s="5" t="s">
        <v>14</v>
      </c>
      <c r="E250" s="11">
        <v>46225</v>
      </c>
      <c r="F250" s="5" t="s">
        <v>15</v>
      </c>
      <c r="G250" s="6" t="s">
        <v>242</v>
      </c>
      <c r="H250" s="6" t="s">
        <v>239</v>
      </c>
      <c r="I250" s="7" t="s">
        <v>243</v>
      </c>
      <c r="J250" s="4" t="s">
        <v>666</v>
      </c>
      <c r="K250" s="5" t="s">
        <v>17</v>
      </c>
      <c r="L250" s="6" t="s">
        <v>29</v>
      </c>
      <c r="M250" s="6" t="s">
        <v>244</v>
      </c>
      <c r="N250" s="13">
        <v>46234</v>
      </c>
      <c r="O250"/>
    </row>
    <row r="251" spans="1:16" x14ac:dyDescent="0.3">
      <c r="A251" s="2">
        <v>37814</v>
      </c>
      <c r="B251" s="2" t="s">
        <v>12</v>
      </c>
      <c r="C251" s="3" t="s">
        <v>13</v>
      </c>
      <c r="D251" s="2" t="s">
        <v>14</v>
      </c>
      <c r="E251" s="11">
        <v>46225</v>
      </c>
      <c r="F251" s="2" t="s">
        <v>15</v>
      </c>
      <c r="G251" s="3" t="s">
        <v>26</v>
      </c>
      <c r="H251" s="3" t="s">
        <v>27</v>
      </c>
      <c r="I251" s="7" t="s">
        <v>28</v>
      </c>
      <c r="J251" s="4" t="s">
        <v>666</v>
      </c>
      <c r="K251" s="2" t="s">
        <v>17</v>
      </c>
      <c r="L251" s="3" t="s">
        <v>29</v>
      </c>
      <c r="M251" s="3" t="s">
        <v>30</v>
      </c>
      <c r="N251" s="13">
        <v>46234</v>
      </c>
      <c r="O251"/>
    </row>
    <row r="252" spans="1:16" x14ac:dyDescent="0.3">
      <c r="A252" s="5">
        <v>37815</v>
      </c>
      <c r="B252" s="5" t="s">
        <v>129</v>
      </c>
      <c r="C252" s="6" t="s">
        <v>13</v>
      </c>
      <c r="D252" s="5" t="s">
        <v>14</v>
      </c>
      <c r="E252" s="11">
        <v>46225</v>
      </c>
      <c r="F252" s="5" t="s">
        <v>15</v>
      </c>
      <c r="G252" s="6" t="s">
        <v>366</v>
      </c>
      <c r="H252" s="6" t="s">
        <v>107</v>
      </c>
      <c r="I252" s="7" t="s">
        <v>367</v>
      </c>
      <c r="J252" s="4" t="s">
        <v>666</v>
      </c>
      <c r="K252" s="5" t="s">
        <v>17</v>
      </c>
      <c r="L252" s="6" t="s">
        <v>29</v>
      </c>
      <c r="M252" s="6" t="s">
        <v>368</v>
      </c>
      <c r="N252" s="13">
        <v>46234</v>
      </c>
      <c r="O252"/>
    </row>
    <row r="253" spans="1:16" x14ac:dyDescent="0.3">
      <c r="A253" s="5">
        <v>37991</v>
      </c>
      <c r="B253" s="5" t="s">
        <v>12</v>
      </c>
      <c r="C253" s="6" t="s">
        <v>13</v>
      </c>
      <c r="D253" s="5" t="s">
        <v>14</v>
      </c>
      <c r="E253" s="11">
        <v>46225</v>
      </c>
      <c r="F253" s="5" t="s">
        <v>15</v>
      </c>
      <c r="G253" s="6" t="s">
        <v>31</v>
      </c>
      <c r="H253" s="6" t="s">
        <v>32</v>
      </c>
      <c r="I253" s="7" t="s">
        <v>389</v>
      </c>
      <c r="J253" s="4" t="s">
        <v>666</v>
      </c>
      <c r="K253" s="5" t="s">
        <v>23</v>
      </c>
      <c r="L253" s="6" t="s">
        <v>29</v>
      </c>
      <c r="M253" s="6" t="s">
        <v>419</v>
      </c>
      <c r="N253" s="13">
        <v>46234</v>
      </c>
      <c r="O253"/>
    </row>
    <row r="254" spans="1:16" x14ac:dyDescent="0.3">
      <c r="A254" s="5">
        <v>37993</v>
      </c>
      <c r="B254" s="5" t="s">
        <v>12</v>
      </c>
      <c r="C254" s="6" t="s">
        <v>13</v>
      </c>
      <c r="D254" s="5" t="s">
        <v>14</v>
      </c>
      <c r="E254" s="11">
        <v>46225</v>
      </c>
      <c r="F254" s="5" t="s">
        <v>15</v>
      </c>
      <c r="G254" s="6" t="s">
        <v>411</v>
      </c>
      <c r="H254" s="6" t="s">
        <v>74</v>
      </c>
      <c r="I254" s="7" t="s">
        <v>412</v>
      </c>
      <c r="J254" s="4" t="s">
        <v>666</v>
      </c>
      <c r="K254" s="5" t="s">
        <v>23</v>
      </c>
      <c r="L254" s="6" t="s">
        <v>29</v>
      </c>
      <c r="M254" s="6" t="s">
        <v>595</v>
      </c>
      <c r="N254" s="13">
        <v>46234</v>
      </c>
      <c r="O254"/>
    </row>
    <row r="255" spans="1:16" x14ac:dyDescent="0.3">
      <c r="A255" s="2">
        <v>37993</v>
      </c>
      <c r="B255" s="2" t="s">
        <v>12</v>
      </c>
      <c r="C255" s="3" t="s">
        <v>13</v>
      </c>
      <c r="D255" s="2" t="s">
        <v>14</v>
      </c>
      <c r="E255" s="11">
        <v>46225</v>
      </c>
      <c r="F255" s="10" t="s">
        <v>15</v>
      </c>
      <c r="G255" s="3" t="s">
        <v>411</v>
      </c>
      <c r="H255" s="3" t="s">
        <v>74</v>
      </c>
      <c r="I255" s="7" t="s">
        <v>114</v>
      </c>
      <c r="J255" s="4" t="s">
        <v>666</v>
      </c>
      <c r="K255" s="2" t="s">
        <v>23</v>
      </c>
      <c r="L255" s="3" t="s">
        <v>29</v>
      </c>
      <c r="M255" s="3" t="s">
        <v>595</v>
      </c>
      <c r="N255" s="13">
        <v>46234</v>
      </c>
      <c r="O255"/>
    </row>
    <row r="256" spans="1:16" x14ac:dyDescent="0.3">
      <c r="A256" s="2">
        <v>37822</v>
      </c>
      <c r="B256" s="2" t="s">
        <v>12</v>
      </c>
      <c r="C256" s="3" t="s">
        <v>13</v>
      </c>
      <c r="D256" s="2" t="s">
        <v>14</v>
      </c>
      <c r="E256" s="11">
        <v>46226</v>
      </c>
      <c r="F256" s="2" t="s">
        <v>15</v>
      </c>
      <c r="G256" s="3" t="s">
        <v>369</v>
      </c>
      <c r="H256" s="3" t="s">
        <v>74</v>
      </c>
      <c r="I256" s="7" t="s">
        <v>370</v>
      </c>
      <c r="J256" s="4" t="s">
        <v>666</v>
      </c>
      <c r="K256" s="2" t="s">
        <v>17</v>
      </c>
      <c r="L256" s="3" t="s">
        <v>29</v>
      </c>
      <c r="M256" s="3" t="s">
        <v>371</v>
      </c>
      <c r="N256" s="13">
        <v>46234</v>
      </c>
      <c r="O256"/>
    </row>
    <row r="257" spans="1:15" x14ac:dyDescent="0.3">
      <c r="A257" s="5">
        <v>37822</v>
      </c>
      <c r="B257" s="5" t="s">
        <v>12</v>
      </c>
      <c r="C257" s="6" t="s">
        <v>13</v>
      </c>
      <c r="D257" s="5" t="s">
        <v>14</v>
      </c>
      <c r="E257" s="11">
        <v>46226</v>
      </c>
      <c r="F257" s="5" t="s">
        <v>15</v>
      </c>
      <c r="G257" s="6" t="s">
        <v>369</v>
      </c>
      <c r="H257" s="6" t="s">
        <v>74</v>
      </c>
      <c r="I257" s="7" t="s">
        <v>372</v>
      </c>
      <c r="J257" s="4" t="s">
        <v>666</v>
      </c>
      <c r="K257" s="5" t="s">
        <v>17</v>
      </c>
      <c r="L257" s="6" t="s">
        <v>29</v>
      </c>
      <c r="M257" s="6" t="s">
        <v>371</v>
      </c>
      <c r="N257" s="13">
        <v>46234</v>
      </c>
      <c r="O257"/>
    </row>
    <row r="258" spans="1:15" x14ac:dyDescent="0.3">
      <c r="A258" s="5">
        <v>37822</v>
      </c>
      <c r="B258" s="5" t="s">
        <v>12</v>
      </c>
      <c r="C258" s="6" t="s">
        <v>13</v>
      </c>
      <c r="D258" s="5" t="s">
        <v>14</v>
      </c>
      <c r="E258" s="11">
        <v>46226</v>
      </c>
      <c r="F258" s="5" t="s">
        <v>15</v>
      </c>
      <c r="G258" s="6" t="s">
        <v>369</v>
      </c>
      <c r="H258" s="6" t="s">
        <v>74</v>
      </c>
      <c r="I258" s="7" t="s">
        <v>454</v>
      </c>
      <c r="J258" s="4" t="s">
        <v>666</v>
      </c>
      <c r="K258" s="5" t="s">
        <v>17</v>
      </c>
      <c r="L258" s="6" t="s">
        <v>29</v>
      </c>
      <c r="M258" s="6" t="s">
        <v>371</v>
      </c>
      <c r="N258" s="13">
        <v>46234</v>
      </c>
      <c r="O258"/>
    </row>
    <row r="259" spans="1:15" x14ac:dyDescent="0.3">
      <c r="A259" s="21">
        <v>37824</v>
      </c>
      <c r="B259" s="21" t="s">
        <v>129</v>
      </c>
      <c r="C259" s="22" t="s">
        <v>13</v>
      </c>
      <c r="D259" s="21" t="s">
        <v>14</v>
      </c>
      <c r="E259" s="23">
        <v>46226</v>
      </c>
      <c r="F259" s="21" t="s">
        <v>15</v>
      </c>
      <c r="G259" s="22" t="s">
        <v>394</v>
      </c>
      <c r="H259" s="22" t="s">
        <v>32</v>
      </c>
      <c r="I259" s="8" t="s">
        <v>64</v>
      </c>
      <c r="J259" s="4" t="s">
        <v>668</v>
      </c>
      <c r="K259" s="2" t="s">
        <v>17</v>
      </c>
      <c r="L259" s="3" t="s">
        <v>50</v>
      </c>
      <c r="M259" s="19" t="s">
        <v>51</v>
      </c>
      <c r="N259" s="13">
        <v>46234</v>
      </c>
      <c r="O259"/>
    </row>
    <row r="260" spans="1:15" x14ac:dyDescent="0.3">
      <c r="A260" s="21">
        <v>37824</v>
      </c>
      <c r="B260" s="21" t="s">
        <v>129</v>
      </c>
      <c r="C260" s="22" t="s">
        <v>13</v>
      </c>
      <c r="D260" s="21" t="s">
        <v>14</v>
      </c>
      <c r="E260" s="23">
        <v>46226</v>
      </c>
      <c r="F260" s="21" t="s">
        <v>15</v>
      </c>
      <c r="G260" s="22" t="s">
        <v>394</v>
      </c>
      <c r="H260" s="22" t="s">
        <v>32</v>
      </c>
      <c r="I260" s="8" t="s">
        <v>324</v>
      </c>
      <c r="J260" s="4" t="s">
        <v>668</v>
      </c>
      <c r="K260" s="5" t="s">
        <v>17</v>
      </c>
      <c r="L260" s="6" t="s">
        <v>50</v>
      </c>
      <c r="M260" s="18" t="s">
        <v>51</v>
      </c>
      <c r="N260" s="13">
        <v>46234</v>
      </c>
      <c r="O260"/>
    </row>
    <row r="261" spans="1:15" x14ac:dyDescent="0.3">
      <c r="A261" s="2">
        <v>37827</v>
      </c>
      <c r="B261" s="2" t="s">
        <v>12</v>
      </c>
      <c r="C261" s="3" t="s">
        <v>13</v>
      </c>
      <c r="D261" s="2" t="s">
        <v>14</v>
      </c>
      <c r="E261" s="11">
        <v>46226</v>
      </c>
      <c r="F261" s="2" t="s">
        <v>15</v>
      </c>
      <c r="G261" s="3" t="s">
        <v>373</v>
      </c>
      <c r="H261" s="3" t="s">
        <v>63</v>
      </c>
      <c r="I261" s="7" t="s">
        <v>370</v>
      </c>
      <c r="J261" s="4" t="s">
        <v>666</v>
      </c>
      <c r="K261" s="2" t="s">
        <v>17</v>
      </c>
      <c r="L261" s="3" t="s">
        <v>29</v>
      </c>
      <c r="M261" s="3" t="s">
        <v>374</v>
      </c>
      <c r="N261" s="13">
        <v>46234</v>
      </c>
      <c r="O261"/>
    </row>
    <row r="262" spans="1:15" x14ac:dyDescent="0.3">
      <c r="A262" s="5">
        <v>37829</v>
      </c>
      <c r="B262" s="5" t="s">
        <v>12</v>
      </c>
      <c r="C262" s="6" t="s">
        <v>13</v>
      </c>
      <c r="D262" s="5" t="s">
        <v>14</v>
      </c>
      <c r="E262" s="11">
        <v>46226</v>
      </c>
      <c r="F262" s="5" t="s">
        <v>15</v>
      </c>
      <c r="G262" s="6" t="s">
        <v>527</v>
      </c>
      <c r="H262" s="6" t="s">
        <v>528</v>
      </c>
      <c r="I262" s="7" t="s">
        <v>529</v>
      </c>
      <c r="J262" s="4" t="s">
        <v>666</v>
      </c>
      <c r="K262" s="5" t="s">
        <v>17</v>
      </c>
      <c r="L262" s="6" t="s">
        <v>29</v>
      </c>
      <c r="M262" s="6" t="s">
        <v>530</v>
      </c>
      <c r="N262" s="13">
        <v>46234</v>
      </c>
      <c r="O262"/>
    </row>
    <row r="263" spans="1:15" x14ac:dyDescent="0.3">
      <c r="A263" s="5">
        <v>37838</v>
      </c>
      <c r="B263" s="5" t="s">
        <v>12</v>
      </c>
      <c r="C263" s="6" t="s">
        <v>13</v>
      </c>
      <c r="D263" s="5" t="s">
        <v>14</v>
      </c>
      <c r="E263" s="11">
        <v>46226</v>
      </c>
      <c r="F263" s="5" t="s">
        <v>15</v>
      </c>
      <c r="G263" s="6" t="s">
        <v>375</v>
      </c>
      <c r="H263" s="6" t="s">
        <v>63</v>
      </c>
      <c r="I263" s="7" t="s">
        <v>104</v>
      </c>
      <c r="J263" s="4" t="s">
        <v>666</v>
      </c>
      <c r="K263" s="5" t="s">
        <v>17</v>
      </c>
      <c r="L263" s="6" t="s">
        <v>29</v>
      </c>
      <c r="M263" s="6" t="s">
        <v>376</v>
      </c>
      <c r="N263" s="13">
        <v>46234</v>
      </c>
      <c r="O263"/>
    </row>
    <row r="264" spans="1:15" x14ac:dyDescent="0.3">
      <c r="A264" s="2">
        <v>37838</v>
      </c>
      <c r="B264" s="2" t="s">
        <v>12</v>
      </c>
      <c r="C264" s="3" t="s">
        <v>13</v>
      </c>
      <c r="D264" s="2" t="s">
        <v>14</v>
      </c>
      <c r="E264" s="11">
        <v>46226</v>
      </c>
      <c r="F264" s="2" t="s">
        <v>15</v>
      </c>
      <c r="G264" s="3" t="s">
        <v>375</v>
      </c>
      <c r="H264" s="3" t="s">
        <v>63</v>
      </c>
      <c r="I264" s="7" t="s">
        <v>377</v>
      </c>
      <c r="J264" s="4" t="s">
        <v>666</v>
      </c>
      <c r="K264" s="2" t="s">
        <v>17</v>
      </c>
      <c r="L264" s="3" t="s">
        <v>29</v>
      </c>
      <c r="M264" s="3" t="s">
        <v>376</v>
      </c>
      <c r="N264" s="13">
        <v>46234</v>
      </c>
      <c r="O264"/>
    </row>
    <row r="265" spans="1:15" x14ac:dyDescent="0.3">
      <c r="A265" s="5">
        <v>37838</v>
      </c>
      <c r="B265" s="5" t="s">
        <v>12</v>
      </c>
      <c r="C265" s="6" t="s">
        <v>13</v>
      </c>
      <c r="D265" s="5" t="s">
        <v>14</v>
      </c>
      <c r="E265" s="11">
        <v>46226</v>
      </c>
      <c r="F265" s="5" t="s">
        <v>15</v>
      </c>
      <c r="G265" s="6" t="s">
        <v>375</v>
      </c>
      <c r="H265" s="6" t="s">
        <v>63</v>
      </c>
      <c r="I265" s="7" t="s">
        <v>165</v>
      </c>
      <c r="J265" s="4" t="s">
        <v>666</v>
      </c>
      <c r="K265" s="5" t="s">
        <v>17</v>
      </c>
      <c r="L265" s="6" t="s">
        <v>29</v>
      </c>
      <c r="M265" s="6" t="s">
        <v>376</v>
      </c>
      <c r="N265" s="13">
        <v>46234</v>
      </c>
      <c r="O265"/>
    </row>
    <row r="266" spans="1:15" x14ac:dyDescent="0.3">
      <c r="A266" s="5">
        <v>37840</v>
      </c>
      <c r="B266" s="5" t="s">
        <v>12</v>
      </c>
      <c r="C266" s="6" t="s">
        <v>13</v>
      </c>
      <c r="D266" s="5" t="s">
        <v>14</v>
      </c>
      <c r="E266" s="11">
        <v>46226</v>
      </c>
      <c r="F266" s="5" t="s">
        <v>15</v>
      </c>
      <c r="G266" s="6" t="s">
        <v>31</v>
      </c>
      <c r="H266" s="6" t="s">
        <v>32</v>
      </c>
      <c r="I266" s="7" t="s">
        <v>33</v>
      </c>
      <c r="J266" s="4" t="s">
        <v>666</v>
      </c>
      <c r="K266" s="5" t="s">
        <v>17</v>
      </c>
      <c r="L266" s="6" t="s">
        <v>29</v>
      </c>
      <c r="M266" s="6" t="s">
        <v>34</v>
      </c>
      <c r="N266" s="13">
        <v>46234</v>
      </c>
      <c r="O266"/>
    </row>
    <row r="267" spans="1:15" x14ac:dyDescent="0.3">
      <c r="A267" s="2">
        <v>37840</v>
      </c>
      <c r="B267" s="2" t="s">
        <v>12</v>
      </c>
      <c r="C267" s="3" t="s">
        <v>13</v>
      </c>
      <c r="D267" s="2" t="s">
        <v>14</v>
      </c>
      <c r="E267" s="11">
        <v>46226</v>
      </c>
      <c r="F267" s="2" t="s">
        <v>15</v>
      </c>
      <c r="G267" s="3" t="s">
        <v>31</v>
      </c>
      <c r="H267" s="3" t="s">
        <v>32</v>
      </c>
      <c r="I267" s="7" t="s">
        <v>455</v>
      </c>
      <c r="J267" s="4" t="s">
        <v>666</v>
      </c>
      <c r="K267" s="2" t="s">
        <v>17</v>
      </c>
      <c r="L267" s="3" t="s">
        <v>29</v>
      </c>
      <c r="M267" s="3" t="s">
        <v>34</v>
      </c>
      <c r="N267" s="13">
        <v>46234</v>
      </c>
      <c r="O267"/>
    </row>
    <row r="268" spans="1:15" x14ac:dyDescent="0.3">
      <c r="A268" s="5">
        <v>37840</v>
      </c>
      <c r="B268" s="5" t="s">
        <v>12</v>
      </c>
      <c r="C268" s="6" t="s">
        <v>13</v>
      </c>
      <c r="D268" s="5" t="s">
        <v>14</v>
      </c>
      <c r="E268" s="11">
        <v>46226</v>
      </c>
      <c r="F268" s="5" t="s">
        <v>15</v>
      </c>
      <c r="G268" s="6" t="s">
        <v>31</v>
      </c>
      <c r="H268" s="6" t="s">
        <v>32</v>
      </c>
      <c r="I268" s="7" t="s">
        <v>175</v>
      </c>
      <c r="J268" s="4" t="s">
        <v>666</v>
      </c>
      <c r="K268" s="5" t="s">
        <v>17</v>
      </c>
      <c r="L268" s="6" t="s">
        <v>29</v>
      </c>
      <c r="M268" s="6" t="s">
        <v>34</v>
      </c>
      <c r="N268" s="13">
        <v>46234</v>
      </c>
      <c r="O268"/>
    </row>
    <row r="269" spans="1:15" x14ac:dyDescent="0.3">
      <c r="A269" s="2">
        <v>37840</v>
      </c>
      <c r="B269" s="2" t="s">
        <v>12</v>
      </c>
      <c r="C269" s="3" t="s">
        <v>13</v>
      </c>
      <c r="D269" s="2" t="s">
        <v>14</v>
      </c>
      <c r="E269" s="11">
        <v>46226</v>
      </c>
      <c r="F269" s="2" t="s">
        <v>15</v>
      </c>
      <c r="G269" s="3" t="s">
        <v>31</v>
      </c>
      <c r="H269" s="3" t="s">
        <v>32</v>
      </c>
      <c r="I269" s="7" t="s">
        <v>531</v>
      </c>
      <c r="J269" s="4" t="s">
        <v>666</v>
      </c>
      <c r="K269" s="2" t="s">
        <v>17</v>
      </c>
      <c r="L269" s="3" t="s">
        <v>29</v>
      </c>
      <c r="M269" s="3" t="s">
        <v>34</v>
      </c>
      <c r="N269" s="13">
        <v>46234</v>
      </c>
      <c r="O269"/>
    </row>
    <row r="270" spans="1:15" ht="43.2" x14ac:dyDescent="0.3">
      <c r="A270" s="21">
        <v>37857</v>
      </c>
      <c r="B270" s="21" t="s">
        <v>12</v>
      </c>
      <c r="C270" s="22" t="s">
        <v>39</v>
      </c>
      <c r="D270" s="21" t="s">
        <v>14</v>
      </c>
      <c r="E270" s="23">
        <v>46226</v>
      </c>
      <c r="F270" s="21" t="s">
        <v>15</v>
      </c>
      <c r="G270" s="22" t="s">
        <v>305</v>
      </c>
      <c r="H270" s="22" t="s">
        <v>74</v>
      </c>
      <c r="I270" s="4" t="s">
        <v>634</v>
      </c>
      <c r="J270" s="4" t="s">
        <v>668</v>
      </c>
      <c r="K270" s="5" t="s">
        <v>17</v>
      </c>
      <c r="L270" s="6" t="s">
        <v>598</v>
      </c>
      <c r="M270" s="18" t="s">
        <v>635</v>
      </c>
      <c r="N270" s="13">
        <v>46234</v>
      </c>
      <c r="O270"/>
    </row>
    <row r="271" spans="1:15" ht="43.2" x14ac:dyDescent="0.3">
      <c r="A271" s="21">
        <v>37857</v>
      </c>
      <c r="B271" s="21" t="s">
        <v>12</v>
      </c>
      <c r="C271" s="22" t="s">
        <v>39</v>
      </c>
      <c r="D271" s="21" t="s">
        <v>14</v>
      </c>
      <c r="E271" s="23">
        <v>46226</v>
      </c>
      <c r="F271" s="21" t="s">
        <v>15</v>
      </c>
      <c r="G271" s="22" t="s">
        <v>305</v>
      </c>
      <c r="H271" s="22" t="s">
        <v>74</v>
      </c>
      <c r="I271" s="4" t="s">
        <v>636</v>
      </c>
      <c r="J271" s="4" t="s">
        <v>668</v>
      </c>
      <c r="K271" s="2" t="s">
        <v>17</v>
      </c>
      <c r="L271" s="3" t="s">
        <v>637</v>
      </c>
      <c r="M271" s="19" t="s">
        <v>635</v>
      </c>
      <c r="N271" s="13">
        <v>46234</v>
      </c>
      <c r="O271"/>
    </row>
    <row r="272" spans="1:15" x14ac:dyDescent="0.3">
      <c r="A272" s="2">
        <v>37850</v>
      </c>
      <c r="B272" s="2" t="s">
        <v>12</v>
      </c>
      <c r="C272" s="3" t="s">
        <v>13</v>
      </c>
      <c r="D272" s="2" t="s">
        <v>14</v>
      </c>
      <c r="E272" s="11">
        <v>46229</v>
      </c>
      <c r="F272" s="2" t="s">
        <v>15</v>
      </c>
      <c r="G272" s="3" t="s">
        <v>35</v>
      </c>
      <c r="H272" s="3" t="s">
        <v>36</v>
      </c>
      <c r="I272" s="7" t="s">
        <v>37</v>
      </c>
      <c r="J272" s="4" t="s">
        <v>666</v>
      </c>
      <c r="K272" s="2" t="s">
        <v>17</v>
      </c>
      <c r="L272" s="3" t="s">
        <v>29</v>
      </c>
      <c r="M272" s="3" t="s">
        <v>38</v>
      </c>
      <c r="N272" s="13">
        <v>46234</v>
      </c>
      <c r="O272"/>
    </row>
    <row r="273" spans="1:16" x14ac:dyDescent="0.3">
      <c r="A273" s="5">
        <v>37850</v>
      </c>
      <c r="B273" s="5" t="s">
        <v>12</v>
      </c>
      <c r="C273" s="6" t="s">
        <v>13</v>
      </c>
      <c r="D273" s="5" t="s">
        <v>14</v>
      </c>
      <c r="E273" s="11">
        <v>46229</v>
      </c>
      <c r="F273" s="5" t="s">
        <v>15</v>
      </c>
      <c r="G273" s="6" t="s">
        <v>35</v>
      </c>
      <c r="H273" s="6" t="s">
        <v>36</v>
      </c>
      <c r="I273" s="7" t="s">
        <v>532</v>
      </c>
      <c r="J273" s="4" t="s">
        <v>666</v>
      </c>
      <c r="K273" s="5" t="s">
        <v>17</v>
      </c>
      <c r="L273" s="6" t="s">
        <v>29</v>
      </c>
      <c r="M273" s="6" t="s">
        <v>38</v>
      </c>
      <c r="N273" s="13">
        <v>46234</v>
      </c>
      <c r="O273"/>
    </row>
    <row r="274" spans="1:16" x14ac:dyDescent="0.3">
      <c r="A274" s="2">
        <v>37850</v>
      </c>
      <c r="B274" s="2" t="s">
        <v>12</v>
      </c>
      <c r="C274" s="3" t="s">
        <v>13</v>
      </c>
      <c r="D274" s="2" t="s">
        <v>14</v>
      </c>
      <c r="E274" s="11">
        <v>46229</v>
      </c>
      <c r="F274" s="2" t="s">
        <v>15</v>
      </c>
      <c r="G274" s="3" t="s">
        <v>35</v>
      </c>
      <c r="H274" s="3" t="s">
        <v>36</v>
      </c>
      <c r="I274" s="7" t="s">
        <v>154</v>
      </c>
      <c r="J274" s="4" t="s">
        <v>666</v>
      </c>
      <c r="K274" s="2" t="s">
        <v>17</v>
      </c>
      <c r="L274" s="3" t="s">
        <v>29</v>
      </c>
      <c r="M274" s="3" t="s">
        <v>38</v>
      </c>
      <c r="N274" s="13">
        <v>46234</v>
      </c>
      <c r="O274"/>
    </row>
    <row r="275" spans="1:16" x14ac:dyDescent="0.3">
      <c r="A275" s="2">
        <v>37850</v>
      </c>
      <c r="B275" s="2" t="s">
        <v>12</v>
      </c>
      <c r="C275" s="3" t="s">
        <v>13</v>
      </c>
      <c r="D275" s="2" t="s">
        <v>14</v>
      </c>
      <c r="E275" s="11">
        <v>46229</v>
      </c>
      <c r="F275" s="2" t="s">
        <v>15</v>
      </c>
      <c r="G275" s="3" t="s">
        <v>35</v>
      </c>
      <c r="H275" s="3" t="s">
        <v>36</v>
      </c>
      <c r="I275" s="7" t="s">
        <v>578</v>
      </c>
      <c r="J275" s="4" t="s">
        <v>666</v>
      </c>
      <c r="K275" s="2" t="s">
        <v>17</v>
      </c>
      <c r="L275" s="3" t="s">
        <v>29</v>
      </c>
      <c r="M275" s="3" t="s">
        <v>38</v>
      </c>
      <c r="N275" s="13">
        <v>46234</v>
      </c>
      <c r="O275"/>
    </row>
    <row r="276" spans="1:16" x14ac:dyDescent="0.3">
      <c r="A276" s="5">
        <v>37850</v>
      </c>
      <c r="B276" s="5" t="s">
        <v>12</v>
      </c>
      <c r="C276" s="6" t="s">
        <v>13</v>
      </c>
      <c r="D276" s="5" t="s">
        <v>14</v>
      </c>
      <c r="E276" s="11">
        <v>46229</v>
      </c>
      <c r="F276" s="5" t="s">
        <v>15</v>
      </c>
      <c r="G276" s="6" t="s">
        <v>35</v>
      </c>
      <c r="H276" s="6" t="s">
        <v>36</v>
      </c>
      <c r="I276" s="7" t="s">
        <v>579</v>
      </c>
      <c r="J276" s="4" t="s">
        <v>666</v>
      </c>
      <c r="K276" s="5" t="s">
        <v>17</v>
      </c>
      <c r="L276" s="6" t="s">
        <v>29</v>
      </c>
      <c r="M276" s="6" t="s">
        <v>38</v>
      </c>
      <c r="N276" s="13">
        <v>46234</v>
      </c>
      <c r="O276"/>
    </row>
    <row r="277" spans="1:16" x14ac:dyDescent="0.3">
      <c r="A277" s="2">
        <v>37850</v>
      </c>
      <c r="B277" s="2" t="s">
        <v>12</v>
      </c>
      <c r="C277" s="3" t="s">
        <v>13</v>
      </c>
      <c r="D277" s="2" t="s">
        <v>14</v>
      </c>
      <c r="E277" s="11">
        <v>46229</v>
      </c>
      <c r="F277" s="2" t="s">
        <v>15</v>
      </c>
      <c r="G277" s="3" t="s">
        <v>35</v>
      </c>
      <c r="H277" s="3" t="s">
        <v>36</v>
      </c>
      <c r="I277" s="7" t="s">
        <v>633</v>
      </c>
      <c r="J277" s="4" t="s">
        <v>666</v>
      </c>
      <c r="K277" s="2" t="s">
        <v>17</v>
      </c>
      <c r="L277" s="3" t="s">
        <v>29</v>
      </c>
      <c r="M277" s="3" t="s">
        <v>38</v>
      </c>
      <c r="N277" s="13">
        <v>46234</v>
      </c>
      <c r="O277"/>
    </row>
    <row r="278" spans="1:16" x14ac:dyDescent="0.3">
      <c r="A278" s="2">
        <v>37854</v>
      </c>
      <c r="B278" s="2" t="s">
        <v>12</v>
      </c>
      <c r="C278" s="3" t="s">
        <v>13</v>
      </c>
      <c r="D278" s="2" t="s">
        <v>14</v>
      </c>
      <c r="E278" s="11">
        <v>46229</v>
      </c>
      <c r="F278" s="2" t="s">
        <v>15</v>
      </c>
      <c r="G278" s="3" t="s">
        <v>451</v>
      </c>
      <c r="H278" s="3" t="s">
        <v>452</v>
      </c>
      <c r="I278" s="7" t="s">
        <v>456</v>
      </c>
      <c r="J278" s="4" t="s">
        <v>666</v>
      </c>
      <c r="K278" s="2" t="s">
        <v>17</v>
      </c>
      <c r="L278" s="3" t="s">
        <v>29</v>
      </c>
      <c r="M278" s="3" t="s">
        <v>457</v>
      </c>
      <c r="N278" s="13">
        <v>46234</v>
      </c>
      <c r="O278"/>
    </row>
    <row r="279" spans="1:16" x14ac:dyDescent="0.3">
      <c r="A279" s="5">
        <v>37854</v>
      </c>
      <c r="B279" s="5" t="s">
        <v>12</v>
      </c>
      <c r="C279" s="6" t="s">
        <v>13</v>
      </c>
      <c r="D279" s="5" t="s">
        <v>14</v>
      </c>
      <c r="E279" s="11">
        <v>46229</v>
      </c>
      <c r="F279" s="5" t="s">
        <v>15</v>
      </c>
      <c r="G279" s="6" t="s">
        <v>451</v>
      </c>
      <c r="H279" s="6" t="s">
        <v>452</v>
      </c>
      <c r="I279" s="7" t="s">
        <v>458</v>
      </c>
      <c r="J279" s="4" t="s">
        <v>666</v>
      </c>
      <c r="K279" s="5" t="s">
        <v>17</v>
      </c>
      <c r="L279" s="6" t="s">
        <v>29</v>
      </c>
      <c r="M279" s="6" t="s">
        <v>457</v>
      </c>
      <c r="N279" s="13">
        <v>46234</v>
      </c>
      <c r="O279"/>
    </row>
    <row r="280" spans="1:16" x14ac:dyDescent="0.3">
      <c r="A280" s="5">
        <v>37854</v>
      </c>
      <c r="B280" s="5" t="s">
        <v>12</v>
      </c>
      <c r="C280" s="6" t="s">
        <v>13</v>
      </c>
      <c r="D280" s="5" t="s">
        <v>14</v>
      </c>
      <c r="E280" s="11">
        <v>46229</v>
      </c>
      <c r="F280" s="5" t="s">
        <v>15</v>
      </c>
      <c r="G280" s="6" t="s">
        <v>451</v>
      </c>
      <c r="H280" s="6" t="s">
        <v>452</v>
      </c>
      <c r="I280" s="7" t="s">
        <v>533</v>
      </c>
      <c r="J280" s="4" t="s">
        <v>666</v>
      </c>
      <c r="K280" s="5" t="s">
        <v>17</v>
      </c>
      <c r="L280" s="6" t="s">
        <v>29</v>
      </c>
      <c r="M280" s="6" t="s">
        <v>457</v>
      </c>
      <c r="N280" s="13">
        <v>46234</v>
      </c>
      <c r="O280"/>
    </row>
    <row r="281" spans="1:16" ht="28.8" x14ac:dyDescent="0.3">
      <c r="A281" s="21">
        <v>37864</v>
      </c>
      <c r="B281" s="21" t="s">
        <v>12</v>
      </c>
      <c r="C281" s="22" t="s">
        <v>39</v>
      </c>
      <c r="D281" s="21" t="s">
        <v>14</v>
      </c>
      <c r="E281" s="23">
        <v>46229</v>
      </c>
      <c r="F281" s="21" t="s">
        <v>15</v>
      </c>
      <c r="G281" s="22" t="s">
        <v>126</v>
      </c>
      <c r="H281" s="22" t="s">
        <v>127</v>
      </c>
      <c r="I281" s="4" t="s">
        <v>245</v>
      </c>
      <c r="J281" s="4" t="s">
        <v>667</v>
      </c>
      <c r="K281" s="2" t="s">
        <v>23</v>
      </c>
      <c r="L281" s="3" t="s">
        <v>215</v>
      </c>
      <c r="M281" s="19" t="s">
        <v>246</v>
      </c>
      <c r="N281" s="13">
        <v>46234</v>
      </c>
      <c r="O281"/>
      <c r="P281" t="s">
        <v>672</v>
      </c>
    </row>
    <row r="282" spans="1:16" ht="43.2" x14ac:dyDescent="0.3">
      <c r="A282" s="21">
        <v>37865</v>
      </c>
      <c r="B282" s="21" t="s">
        <v>18</v>
      </c>
      <c r="C282" s="22" t="s">
        <v>39</v>
      </c>
      <c r="D282" s="21" t="s">
        <v>14</v>
      </c>
      <c r="E282" s="23">
        <v>46229</v>
      </c>
      <c r="F282" s="21" t="s">
        <v>15</v>
      </c>
      <c r="G282" s="22" t="s">
        <v>192</v>
      </c>
      <c r="H282" s="22" t="s">
        <v>74</v>
      </c>
      <c r="I282" s="4" t="s">
        <v>42</v>
      </c>
      <c r="J282" s="4" t="s">
        <v>667</v>
      </c>
      <c r="K282" s="5" t="s">
        <v>23</v>
      </c>
      <c r="L282" s="6" t="s">
        <v>43</v>
      </c>
      <c r="M282" s="18" t="s">
        <v>132</v>
      </c>
      <c r="N282" s="13">
        <v>46234</v>
      </c>
      <c r="O282"/>
      <c r="P282" t="s">
        <v>672</v>
      </c>
    </row>
    <row r="283" spans="1:16" x14ac:dyDescent="0.3">
      <c r="A283" s="5">
        <v>37875</v>
      </c>
      <c r="B283" s="5" t="s">
        <v>12</v>
      </c>
      <c r="C283" s="6" t="s">
        <v>13</v>
      </c>
      <c r="D283" s="5" t="s">
        <v>14</v>
      </c>
      <c r="E283" s="11">
        <v>46229</v>
      </c>
      <c r="F283" s="5" t="s">
        <v>15</v>
      </c>
      <c r="G283" s="6" t="s">
        <v>247</v>
      </c>
      <c r="H283" s="6" t="s">
        <v>21</v>
      </c>
      <c r="I283" s="7" t="s">
        <v>248</v>
      </c>
      <c r="J283" s="4" t="s">
        <v>666</v>
      </c>
      <c r="K283" s="5" t="s">
        <v>17</v>
      </c>
      <c r="L283" s="6" t="s">
        <v>29</v>
      </c>
      <c r="M283" s="6" t="s">
        <v>249</v>
      </c>
      <c r="N283" s="13">
        <v>46234</v>
      </c>
      <c r="O283"/>
    </row>
    <row r="284" spans="1:16" x14ac:dyDescent="0.3">
      <c r="A284" s="2">
        <v>37875</v>
      </c>
      <c r="B284" s="2" t="s">
        <v>12</v>
      </c>
      <c r="C284" s="3" t="s">
        <v>13</v>
      </c>
      <c r="D284" s="2" t="s">
        <v>14</v>
      </c>
      <c r="E284" s="11">
        <v>46229</v>
      </c>
      <c r="F284" s="2" t="s">
        <v>15</v>
      </c>
      <c r="G284" s="3" t="s">
        <v>247</v>
      </c>
      <c r="H284" s="3" t="s">
        <v>21</v>
      </c>
      <c r="I284" s="7" t="s">
        <v>378</v>
      </c>
      <c r="J284" s="4" t="s">
        <v>666</v>
      </c>
      <c r="K284" s="2" t="s">
        <v>17</v>
      </c>
      <c r="L284" s="3" t="s">
        <v>29</v>
      </c>
      <c r="M284" s="3" t="s">
        <v>249</v>
      </c>
      <c r="N284" s="13">
        <v>46234</v>
      </c>
      <c r="O284"/>
    </row>
    <row r="285" spans="1:16" x14ac:dyDescent="0.3">
      <c r="A285" s="2">
        <v>37875</v>
      </c>
      <c r="B285" s="2" t="s">
        <v>12</v>
      </c>
      <c r="C285" s="3" t="s">
        <v>13</v>
      </c>
      <c r="D285" s="2" t="s">
        <v>14</v>
      </c>
      <c r="E285" s="11">
        <v>46229</v>
      </c>
      <c r="F285" s="2" t="s">
        <v>15</v>
      </c>
      <c r="G285" s="3" t="s">
        <v>247</v>
      </c>
      <c r="H285" s="3" t="s">
        <v>21</v>
      </c>
      <c r="I285" s="7" t="s">
        <v>456</v>
      </c>
      <c r="J285" s="4" t="s">
        <v>666</v>
      </c>
      <c r="K285" s="2" t="s">
        <v>23</v>
      </c>
      <c r="L285" s="3" t="s">
        <v>29</v>
      </c>
      <c r="M285" s="3" t="s">
        <v>249</v>
      </c>
      <c r="N285" s="13">
        <v>46234</v>
      </c>
      <c r="O285"/>
    </row>
    <row r="286" spans="1:16" x14ac:dyDescent="0.3">
      <c r="A286" s="2">
        <v>37875</v>
      </c>
      <c r="B286" s="2" t="s">
        <v>12</v>
      </c>
      <c r="C286" s="3" t="s">
        <v>13</v>
      </c>
      <c r="D286" s="2" t="s">
        <v>14</v>
      </c>
      <c r="E286" s="11">
        <v>46229</v>
      </c>
      <c r="F286" s="2" t="s">
        <v>15</v>
      </c>
      <c r="G286" s="3" t="s">
        <v>247</v>
      </c>
      <c r="H286" s="3" t="s">
        <v>21</v>
      </c>
      <c r="I286" s="7" t="s">
        <v>81</v>
      </c>
      <c r="J286" s="4" t="s">
        <v>666</v>
      </c>
      <c r="K286" s="2" t="s">
        <v>23</v>
      </c>
      <c r="L286" s="3" t="s">
        <v>29</v>
      </c>
      <c r="M286" s="3" t="s">
        <v>249</v>
      </c>
      <c r="N286" s="13">
        <v>46234</v>
      </c>
      <c r="O286"/>
    </row>
    <row r="287" spans="1:16" ht="28.8" x14ac:dyDescent="0.3">
      <c r="A287" s="21">
        <v>37876</v>
      </c>
      <c r="B287" s="21" t="s">
        <v>18</v>
      </c>
      <c r="C287" s="22" t="s">
        <v>19</v>
      </c>
      <c r="D287" s="21" t="s">
        <v>14</v>
      </c>
      <c r="E287" s="23">
        <v>46229</v>
      </c>
      <c r="F287" s="21" t="s">
        <v>15</v>
      </c>
      <c r="G287" s="22" t="s">
        <v>379</v>
      </c>
      <c r="H287" s="22" t="s">
        <v>66</v>
      </c>
      <c r="I287" s="4" t="s">
        <v>22</v>
      </c>
      <c r="J287" s="4" t="s">
        <v>667</v>
      </c>
      <c r="K287" s="5" t="s">
        <v>23</v>
      </c>
      <c r="L287" s="6" t="s">
        <v>24</v>
      </c>
      <c r="M287" s="18" t="s">
        <v>25</v>
      </c>
      <c r="N287" s="13">
        <v>46234</v>
      </c>
      <c r="O287"/>
      <c r="P287" t="s">
        <v>672</v>
      </c>
    </row>
    <row r="288" spans="1:16" x14ac:dyDescent="0.3">
      <c r="A288" s="5">
        <v>37879</v>
      </c>
      <c r="B288" s="5" t="s">
        <v>12</v>
      </c>
      <c r="C288" s="6" t="s">
        <v>13</v>
      </c>
      <c r="D288" s="5" t="s">
        <v>14</v>
      </c>
      <c r="E288" s="11">
        <v>46229</v>
      </c>
      <c r="F288" s="5" t="s">
        <v>15</v>
      </c>
      <c r="G288" s="6" t="s">
        <v>534</v>
      </c>
      <c r="H288" s="6" t="s">
        <v>112</v>
      </c>
      <c r="I288" s="7" t="s">
        <v>535</v>
      </c>
      <c r="J288" s="4" t="s">
        <v>666</v>
      </c>
      <c r="K288" s="5" t="s">
        <v>17</v>
      </c>
      <c r="L288" s="6" t="s">
        <v>29</v>
      </c>
      <c r="M288" s="6" t="s">
        <v>536</v>
      </c>
      <c r="N288" s="13">
        <v>46234</v>
      </c>
      <c r="O288"/>
    </row>
    <row r="289" spans="1:16" x14ac:dyDescent="0.3">
      <c r="A289" s="2">
        <v>37879</v>
      </c>
      <c r="B289" s="2" t="s">
        <v>12</v>
      </c>
      <c r="C289" s="3" t="s">
        <v>13</v>
      </c>
      <c r="D289" s="2" t="s">
        <v>14</v>
      </c>
      <c r="E289" s="11">
        <v>46229</v>
      </c>
      <c r="F289" s="2" t="s">
        <v>15</v>
      </c>
      <c r="G289" s="3" t="s">
        <v>534</v>
      </c>
      <c r="H289" s="3" t="s">
        <v>112</v>
      </c>
      <c r="I289" s="7" t="s">
        <v>537</v>
      </c>
      <c r="J289" s="4" t="s">
        <v>666</v>
      </c>
      <c r="K289" s="2" t="s">
        <v>17</v>
      </c>
      <c r="L289" s="3" t="s">
        <v>29</v>
      </c>
      <c r="M289" s="3" t="s">
        <v>536</v>
      </c>
      <c r="N289" s="13">
        <v>46234</v>
      </c>
      <c r="O289"/>
    </row>
    <row r="290" spans="1:16" x14ac:dyDescent="0.3">
      <c r="A290" s="5">
        <v>37879</v>
      </c>
      <c r="B290" s="5" t="s">
        <v>12</v>
      </c>
      <c r="C290" s="6" t="s">
        <v>13</v>
      </c>
      <c r="D290" s="5" t="s">
        <v>14</v>
      </c>
      <c r="E290" s="11">
        <v>46229</v>
      </c>
      <c r="F290" s="5" t="s">
        <v>15</v>
      </c>
      <c r="G290" s="6" t="s">
        <v>534</v>
      </c>
      <c r="H290" s="6" t="s">
        <v>112</v>
      </c>
      <c r="I290" s="7" t="s">
        <v>538</v>
      </c>
      <c r="J290" s="4" t="s">
        <v>666</v>
      </c>
      <c r="K290" s="5" t="s">
        <v>23</v>
      </c>
      <c r="L290" s="6" t="s">
        <v>29</v>
      </c>
      <c r="M290" s="6" t="s">
        <v>536</v>
      </c>
      <c r="N290" s="13">
        <v>46234</v>
      </c>
      <c r="O290"/>
    </row>
    <row r="291" spans="1:16" x14ac:dyDescent="0.3">
      <c r="A291" s="5">
        <v>37879</v>
      </c>
      <c r="B291" s="5" t="s">
        <v>12</v>
      </c>
      <c r="C291" s="6" t="s">
        <v>13</v>
      </c>
      <c r="D291" s="5" t="s">
        <v>14</v>
      </c>
      <c r="E291" s="11">
        <v>46229</v>
      </c>
      <c r="F291" s="5" t="s">
        <v>15</v>
      </c>
      <c r="G291" s="6" t="s">
        <v>534</v>
      </c>
      <c r="H291" s="6" t="s">
        <v>112</v>
      </c>
      <c r="I291" s="7" t="s">
        <v>135</v>
      </c>
      <c r="J291" s="4" t="s">
        <v>666</v>
      </c>
      <c r="K291" s="5" t="s">
        <v>23</v>
      </c>
      <c r="L291" s="6" t="s">
        <v>29</v>
      </c>
      <c r="M291" s="6" t="s">
        <v>536</v>
      </c>
      <c r="N291" s="13">
        <v>46234</v>
      </c>
      <c r="O291"/>
    </row>
    <row r="292" spans="1:16" x14ac:dyDescent="0.3">
      <c r="A292" s="2">
        <v>37879</v>
      </c>
      <c r="B292" s="2" t="s">
        <v>12</v>
      </c>
      <c r="C292" s="3" t="s">
        <v>13</v>
      </c>
      <c r="D292" s="2" t="s">
        <v>14</v>
      </c>
      <c r="E292" s="11">
        <v>46229</v>
      </c>
      <c r="F292" s="2" t="s">
        <v>15</v>
      </c>
      <c r="G292" s="3" t="s">
        <v>534</v>
      </c>
      <c r="H292" s="3" t="s">
        <v>112</v>
      </c>
      <c r="I292" s="7" t="s">
        <v>537</v>
      </c>
      <c r="J292" s="4" t="s">
        <v>666</v>
      </c>
      <c r="K292" s="2" t="s">
        <v>17</v>
      </c>
      <c r="L292" s="3" t="s">
        <v>29</v>
      </c>
      <c r="M292" s="3" t="s">
        <v>536</v>
      </c>
      <c r="N292" s="13">
        <v>46234</v>
      </c>
      <c r="O292"/>
    </row>
    <row r="293" spans="1:16" x14ac:dyDescent="0.3">
      <c r="A293" s="2">
        <v>37881</v>
      </c>
      <c r="B293" s="2" t="s">
        <v>12</v>
      </c>
      <c r="C293" s="3" t="s">
        <v>13</v>
      </c>
      <c r="D293" s="2" t="s">
        <v>14</v>
      </c>
      <c r="E293" s="11">
        <v>46229</v>
      </c>
      <c r="F293" s="2" t="s">
        <v>15</v>
      </c>
      <c r="G293" s="3" t="s">
        <v>44</v>
      </c>
      <c r="H293" s="3" t="s">
        <v>45</v>
      </c>
      <c r="I293" s="7" t="s">
        <v>46</v>
      </c>
      <c r="J293" s="4" t="s">
        <v>666</v>
      </c>
      <c r="K293" s="2" t="s">
        <v>17</v>
      </c>
      <c r="L293" s="3" t="s">
        <v>29</v>
      </c>
      <c r="M293" s="3" t="s">
        <v>47</v>
      </c>
      <c r="N293" s="13">
        <v>46234</v>
      </c>
      <c r="O293"/>
    </row>
    <row r="294" spans="1:16" x14ac:dyDescent="0.3">
      <c r="A294" s="2">
        <v>37881</v>
      </c>
      <c r="B294" s="2" t="s">
        <v>12</v>
      </c>
      <c r="C294" s="3" t="s">
        <v>13</v>
      </c>
      <c r="D294" s="2" t="s">
        <v>14</v>
      </c>
      <c r="E294" s="11">
        <v>46229</v>
      </c>
      <c r="F294" s="2" t="s">
        <v>15</v>
      </c>
      <c r="G294" s="3" t="s">
        <v>44</v>
      </c>
      <c r="H294" s="3" t="s">
        <v>45</v>
      </c>
      <c r="I294" s="7" t="s">
        <v>459</v>
      </c>
      <c r="J294" s="4" t="s">
        <v>666</v>
      </c>
      <c r="K294" s="2" t="s">
        <v>17</v>
      </c>
      <c r="L294" s="3" t="s">
        <v>29</v>
      </c>
      <c r="M294" s="3" t="s">
        <v>47</v>
      </c>
      <c r="N294" s="13">
        <v>46234</v>
      </c>
      <c r="O294"/>
    </row>
    <row r="295" spans="1:16" x14ac:dyDescent="0.3">
      <c r="A295" s="5">
        <v>37881</v>
      </c>
      <c r="B295" s="5" t="s">
        <v>12</v>
      </c>
      <c r="C295" s="6" t="s">
        <v>13</v>
      </c>
      <c r="D295" s="5" t="s">
        <v>14</v>
      </c>
      <c r="E295" s="11">
        <v>46229</v>
      </c>
      <c r="F295" s="5" t="s">
        <v>15</v>
      </c>
      <c r="G295" s="6" t="s">
        <v>44</v>
      </c>
      <c r="H295" s="6" t="s">
        <v>45</v>
      </c>
      <c r="I295" s="7" t="s">
        <v>460</v>
      </c>
      <c r="J295" s="4" t="s">
        <v>666</v>
      </c>
      <c r="K295" s="5" t="s">
        <v>17</v>
      </c>
      <c r="L295" s="6" t="s">
        <v>29</v>
      </c>
      <c r="M295" s="6" t="s">
        <v>47</v>
      </c>
      <c r="N295" s="13">
        <v>46234</v>
      </c>
      <c r="O295"/>
    </row>
    <row r="296" spans="1:16" x14ac:dyDescent="0.3">
      <c r="A296" s="2">
        <v>37888</v>
      </c>
      <c r="B296" s="2" t="s">
        <v>12</v>
      </c>
      <c r="C296" s="3" t="s">
        <v>13</v>
      </c>
      <c r="D296" s="2" t="s">
        <v>14</v>
      </c>
      <c r="E296" s="11">
        <v>46229</v>
      </c>
      <c r="F296" s="2" t="s">
        <v>15</v>
      </c>
      <c r="G296" s="3" t="s">
        <v>250</v>
      </c>
      <c r="H296" s="3" t="s">
        <v>91</v>
      </c>
      <c r="I296" s="7" t="s">
        <v>251</v>
      </c>
      <c r="J296" s="4" t="s">
        <v>666</v>
      </c>
      <c r="K296" s="2" t="s">
        <v>17</v>
      </c>
      <c r="L296" s="3" t="s">
        <v>29</v>
      </c>
      <c r="M296" s="3" t="s">
        <v>252</v>
      </c>
      <c r="N296" s="13">
        <v>46234</v>
      </c>
      <c r="O296"/>
    </row>
    <row r="297" spans="1:16" x14ac:dyDescent="0.3">
      <c r="A297" s="21">
        <v>37891</v>
      </c>
      <c r="B297" s="21" t="s">
        <v>129</v>
      </c>
      <c r="C297" s="22" t="s">
        <v>13</v>
      </c>
      <c r="D297" s="21" t="s">
        <v>14</v>
      </c>
      <c r="E297" s="23">
        <v>46229</v>
      </c>
      <c r="F297" s="21" t="s">
        <v>15</v>
      </c>
      <c r="G297" s="22" t="s">
        <v>499</v>
      </c>
      <c r="H297" s="22" t="s">
        <v>107</v>
      </c>
      <c r="I297" s="8" t="s">
        <v>500</v>
      </c>
      <c r="J297" s="4" t="s">
        <v>667</v>
      </c>
      <c r="K297" s="5" t="s">
        <v>17</v>
      </c>
      <c r="L297" s="6" t="s">
        <v>50</v>
      </c>
      <c r="M297" s="18" t="s">
        <v>51</v>
      </c>
      <c r="N297" s="13">
        <v>46234</v>
      </c>
      <c r="O297"/>
      <c r="P297" t="s">
        <v>672</v>
      </c>
    </row>
    <row r="298" spans="1:16" x14ac:dyDescent="0.3">
      <c r="A298" s="5">
        <v>37893</v>
      </c>
      <c r="B298" s="5" t="s">
        <v>12</v>
      </c>
      <c r="C298" s="6" t="s">
        <v>13</v>
      </c>
      <c r="D298" s="5" t="s">
        <v>14</v>
      </c>
      <c r="E298" s="11">
        <v>46229</v>
      </c>
      <c r="F298" s="5" t="s">
        <v>15</v>
      </c>
      <c r="G298" s="6" t="s">
        <v>593</v>
      </c>
      <c r="H298" s="6" t="s">
        <v>61</v>
      </c>
      <c r="I298" s="7" t="s">
        <v>165</v>
      </c>
      <c r="J298" s="4" t="s">
        <v>666</v>
      </c>
      <c r="K298" s="5" t="s">
        <v>17</v>
      </c>
      <c r="L298" s="6" t="s">
        <v>29</v>
      </c>
      <c r="M298" s="6" t="s">
        <v>594</v>
      </c>
      <c r="N298" s="13">
        <v>46234</v>
      </c>
      <c r="O298"/>
    </row>
    <row r="299" spans="1:16" x14ac:dyDescent="0.3">
      <c r="A299" s="5">
        <v>37893</v>
      </c>
      <c r="B299" s="5" t="s">
        <v>12</v>
      </c>
      <c r="C299" s="6" t="s">
        <v>13</v>
      </c>
      <c r="D299" s="5" t="s">
        <v>14</v>
      </c>
      <c r="E299" s="11">
        <v>46229</v>
      </c>
      <c r="F299" s="5" t="s">
        <v>15</v>
      </c>
      <c r="G299" s="6" t="s">
        <v>593</v>
      </c>
      <c r="H299" s="6" t="s">
        <v>61</v>
      </c>
      <c r="I299" s="7" t="s">
        <v>651</v>
      </c>
      <c r="J299" s="4" t="s">
        <v>666</v>
      </c>
      <c r="K299" s="5" t="s">
        <v>17</v>
      </c>
      <c r="L299" s="6" t="s">
        <v>29</v>
      </c>
      <c r="M299" s="6" t="s">
        <v>594</v>
      </c>
      <c r="N299" s="13">
        <v>46234</v>
      </c>
      <c r="O299"/>
    </row>
    <row r="300" spans="1:16" x14ac:dyDescent="0.3">
      <c r="A300" s="21">
        <v>37895</v>
      </c>
      <c r="B300" s="21" t="s">
        <v>12</v>
      </c>
      <c r="C300" s="22" t="s">
        <v>13</v>
      </c>
      <c r="D300" s="21" t="s">
        <v>14</v>
      </c>
      <c r="E300" s="23">
        <v>46229</v>
      </c>
      <c r="F300" s="21" t="s">
        <v>15</v>
      </c>
      <c r="G300" s="22" t="s">
        <v>26</v>
      </c>
      <c r="H300" s="22" t="s">
        <v>27</v>
      </c>
      <c r="I300" s="8" t="s">
        <v>652</v>
      </c>
      <c r="J300" s="4" t="s">
        <v>667</v>
      </c>
      <c r="K300" s="2" t="s">
        <v>17</v>
      </c>
      <c r="L300" s="3" t="s">
        <v>50</v>
      </c>
      <c r="M300" s="19" t="s">
        <v>51</v>
      </c>
      <c r="N300" s="13">
        <v>46234</v>
      </c>
      <c r="O300"/>
      <c r="P300" t="s">
        <v>672</v>
      </c>
    </row>
    <row r="301" spans="1:16" ht="43.2" x14ac:dyDescent="0.3">
      <c r="A301" s="21">
        <v>37897</v>
      </c>
      <c r="B301" s="21" t="s">
        <v>12</v>
      </c>
      <c r="C301" s="22" t="s">
        <v>39</v>
      </c>
      <c r="D301" s="21" t="s">
        <v>14</v>
      </c>
      <c r="E301" s="23">
        <v>46229</v>
      </c>
      <c r="F301" s="21" t="s">
        <v>15</v>
      </c>
      <c r="G301" s="22" t="s">
        <v>192</v>
      </c>
      <c r="H301" s="22" t="s">
        <v>74</v>
      </c>
      <c r="I301" s="4" t="s">
        <v>551</v>
      </c>
      <c r="J301" s="4" t="s">
        <v>667</v>
      </c>
      <c r="K301" s="2" t="s">
        <v>23</v>
      </c>
      <c r="L301" s="3" t="s">
        <v>24</v>
      </c>
      <c r="M301" s="19" t="s">
        <v>552</v>
      </c>
      <c r="N301" s="13">
        <v>46234</v>
      </c>
      <c r="O301"/>
      <c r="P301" t="s">
        <v>672</v>
      </c>
    </row>
    <row r="302" spans="1:16" ht="28.8" x14ac:dyDescent="0.3">
      <c r="A302" s="21">
        <v>37898</v>
      </c>
      <c r="B302" s="21" t="s">
        <v>12</v>
      </c>
      <c r="C302" s="22" t="s">
        <v>39</v>
      </c>
      <c r="D302" s="21" t="s">
        <v>14</v>
      </c>
      <c r="E302" s="23">
        <v>46229</v>
      </c>
      <c r="F302" s="21" t="s">
        <v>15</v>
      </c>
      <c r="G302" s="22" t="s">
        <v>305</v>
      </c>
      <c r="H302" s="22" t="s">
        <v>74</v>
      </c>
      <c r="I302" s="4" t="s">
        <v>245</v>
      </c>
      <c r="J302" s="4" t="s">
        <v>667</v>
      </c>
      <c r="K302" s="2" t="s">
        <v>23</v>
      </c>
      <c r="L302" s="3" t="s">
        <v>215</v>
      </c>
      <c r="M302" s="19" t="s">
        <v>409</v>
      </c>
      <c r="N302" s="13">
        <v>46234</v>
      </c>
      <c r="O302"/>
      <c r="P302" t="s">
        <v>672</v>
      </c>
    </row>
    <row r="303" spans="1:16" x14ac:dyDescent="0.3">
      <c r="A303" s="2">
        <v>38089</v>
      </c>
      <c r="B303" s="2" t="s">
        <v>12</v>
      </c>
      <c r="C303" s="3" t="s">
        <v>13</v>
      </c>
      <c r="D303" s="2" t="s">
        <v>14</v>
      </c>
      <c r="E303" s="11">
        <v>46229</v>
      </c>
      <c r="F303" s="2" t="s">
        <v>15</v>
      </c>
      <c r="G303" s="3" t="s">
        <v>269</v>
      </c>
      <c r="H303" s="3" t="s">
        <v>141</v>
      </c>
      <c r="I303" s="7" t="s">
        <v>28</v>
      </c>
      <c r="J303" s="4" t="s">
        <v>666</v>
      </c>
      <c r="K303" s="2" t="s">
        <v>17</v>
      </c>
      <c r="L303" s="3" t="s">
        <v>29</v>
      </c>
      <c r="M303" s="3" t="s">
        <v>588</v>
      </c>
      <c r="N303" s="13">
        <v>46234</v>
      </c>
      <c r="O303"/>
    </row>
    <row r="304" spans="1:16" x14ac:dyDescent="0.3">
      <c r="A304" s="5">
        <v>38091</v>
      </c>
      <c r="B304" s="5" t="s">
        <v>12</v>
      </c>
      <c r="C304" s="6" t="s">
        <v>13</v>
      </c>
      <c r="D304" s="5" t="s">
        <v>14</v>
      </c>
      <c r="E304" s="11">
        <v>46230</v>
      </c>
      <c r="F304" s="5" t="s">
        <v>15</v>
      </c>
      <c r="G304" s="6" t="s">
        <v>273</v>
      </c>
      <c r="H304" s="6" t="s">
        <v>63</v>
      </c>
      <c r="I304" s="7" t="s">
        <v>81</v>
      </c>
      <c r="J304" s="4" t="s">
        <v>666</v>
      </c>
      <c r="K304" s="5" t="s">
        <v>23</v>
      </c>
      <c r="L304" s="6" t="s">
        <v>29</v>
      </c>
      <c r="M304" s="6" t="s">
        <v>274</v>
      </c>
      <c r="N304" s="13">
        <v>46234</v>
      </c>
      <c r="O304"/>
    </row>
    <row r="305" spans="1:16" x14ac:dyDescent="0.3">
      <c r="A305" s="2">
        <v>38091</v>
      </c>
      <c r="B305" s="2" t="s">
        <v>12</v>
      </c>
      <c r="C305" s="3" t="s">
        <v>13</v>
      </c>
      <c r="D305" s="2" t="s">
        <v>14</v>
      </c>
      <c r="E305" s="11">
        <v>46230</v>
      </c>
      <c r="F305" s="2" t="s">
        <v>15</v>
      </c>
      <c r="G305" s="3" t="s">
        <v>273</v>
      </c>
      <c r="H305" s="3" t="s">
        <v>63</v>
      </c>
      <c r="I305" s="7" t="s">
        <v>138</v>
      </c>
      <c r="J305" s="4" t="s">
        <v>666</v>
      </c>
      <c r="K305" s="2" t="s">
        <v>23</v>
      </c>
      <c r="L305" s="3" t="s">
        <v>29</v>
      </c>
      <c r="M305" s="3" t="s">
        <v>274</v>
      </c>
      <c r="N305" s="13">
        <v>46234</v>
      </c>
      <c r="O305"/>
    </row>
    <row r="306" spans="1:16" x14ac:dyDescent="0.3">
      <c r="A306" s="5">
        <v>38091</v>
      </c>
      <c r="B306" s="5" t="s">
        <v>12</v>
      </c>
      <c r="C306" s="6" t="s">
        <v>13</v>
      </c>
      <c r="D306" s="5" t="s">
        <v>14</v>
      </c>
      <c r="E306" s="11">
        <v>46230</v>
      </c>
      <c r="F306" s="5" t="s">
        <v>15</v>
      </c>
      <c r="G306" s="6" t="s">
        <v>273</v>
      </c>
      <c r="H306" s="6" t="s">
        <v>63</v>
      </c>
      <c r="I306" s="7" t="s">
        <v>397</v>
      </c>
      <c r="J306" s="4" t="s">
        <v>666</v>
      </c>
      <c r="K306" s="5" t="s">
        <v>17</v>
      </c>
      <c r="L306" s="6" t="s">
        <v>29</v>
      </c>
      <c r="M306" s="6" t="s">
        <v>274</v>
      </c>
      <c r="N306" s="13">
        <v>46234</v>
      </c>
      <c r="O306"/>
    </row>
    <row r="307" spans="1:16" x14ac:dyDescent="0.3">
      <c r="A307" s="5">
        <v>38091</v>
      </c>
      <c r="B307" s="5" t="s">
        <v>12</v>
      </c>
      <c r="C307" s="6" t="s">
        <v>13</v>
      </c>
      <c r="D307" s="5" t="s">
        <v>14</v>
      </c>
      <c r="E307" s="11">
        <v>46230</v>
      </c>
      <c r="F307" s="5" t="s">
        <v>15</v>
      </c>
      <c r="G307" s="6" t="s">
        <v>273</v>
      </c>
      <c r="H307" s="6" t="s">
        <v>63</v>
      </c>
      <c r="I307" s="7" t="s">
        <v>484</v>
      </c>
      <c r="J307" s="4" t="s">
        <v>666</v>
      </c>
      <c r="K307" s="5" t="s">
        <v>23</v>
      </c>
      <c r="L307" s="6" t="s">
        <v>29</v>
      </c>
      <c r="M307" s="6" t="s">
        <v>274</v>
      </c>
      <c r="N307" s="13">
        <v>46234</v>
      </c>
      <c r="O307"/>
    </row>
    <row r="308" spans="1:16" x14ac:dyDescent="0.3">
      <c r="A308" s="5">
        <v>38091</v>
      </c>
      <c r="B308" s="5" t="s">
        <v>12</v>
      </c>
      <c r="C308" s="6" t="s">
        <v>13</v>
      </c>
      <c r="D308" s="5" t="s">
        <v>14</v>
      </c>
      <c r="E308" s="11">
        <v>46230</v>
      </c>
      <c r="F308" s="5" t="s">
        <v>15</v>
      </c>
      <c r="G308" s="6" t="s">
        <v>273</v>
      </c>
      <c r="H308" s="6" t="s">
        <v>63</v>
      </c>
      <c r="I308" s="7" t="s">
        <v>546</v>
      </c>
      <c r="J308" s="4" t="s">
        <v>666</v>
      </c>
      <c r="K308" s="5" t="s">
        <v>17</v>
      </c>
      <c r="L308" s="6" t="s">
        <v>29</v>
      </c>
      <c r="M308" s="6" t="s">
        <v>274</v>
      </c>
      <c r="N308" s="13">
        <v>46234</v>
      </c>
      <c r="O308"/>
    </row>
    <row r="309" spans="1:16" x14ac:dyDescent="0.3">
      <c r="A309" s="2">
        <v>38093</v>
      </c>
      <c r="B309" s="2" t="s">
        <v>12</v>
      </c>
      <c r="C309" s="3" t="s">
        <v>13</v>
      </c>
      <c r="D309" s="2" t="s">
        <v>14</v>
      </c>
      <c r="E309" s="11">
        <v>46230</v>
      </c>
      <c r="F309" s="2" t="s">
        <v>15</v>
      </c>
      <c r="G309" s="3" t="s">
        <v>254</v>
      </c>
      <c r="H309" s="3" t="s">
        <v>27</v>
      </c>
      <c r="I309" s="7" t="s">
        <v>408</v>
      </c>
      <c r="J309" s="4" t="s">
        <v>666</v>
      </c>
      <c r="K309" s="2" t="s">
        <v>17</v>
      </c>
      <c r="L309" s="3" t="s">
        <v>29</v>
      </c>
      <c r="M309" s="3" t="s">
        <v>485</v>
      </c>
      <c r="N309" s="13">
        <v>46234</v>
      </c>
      <c r="O309"/>
    </row>
    <row r="310" spans="1:16" ht="28.8" x14ac:dyDescent="0.3">
      <c r="A310" s="21">
        <v>38107</v>
      </c>
      <c r="B310" s="21" t="s">
        <v>12</v>
      </c>
      <c r="C310" s="22" t="s">
        <v>39</v>
      </c>
      <c r="D310" s="21" t="s">
        <v>14</v>
      </c>
      <c r="E310" s="23">
        <v>46230</v>
      </c>
      <c r="F310" s="21" t="s">
        <v>15</v>
      </c>
      <c r="G310" s="22" t="s">
        <v>398</v>
      </c>
      <c r="H310" s="22" t="s">
        <v>74</v>
      </c>
      <c r="I310" s="4" t="s">
        <v>399</v>
      </c>
      <c r="J310" s="4" t="s">
        <v>667</v>
      </c>
      <c r="K310" s="2" t="s">
        <v>23</v>
      </c>
      <c r="L310" s="3" t="s">
        <v>400</v>
      </c>
      <c r="M310" s="19" t="s">
        <v>401</v>
      </c>
      <c r="N310" s="13">
        <v>46234</v>
      </c>
      <c r="O310"/>
      <c r="P310" t="s">
        <v>672</v>
      </c>
    </row>
    <row r="311" spans="1:16" x14ac:dyDescent="0.3">
      <c r="A311" s="5">
        <v>38117</v>
      </c>
      <c r="B311" s="5" t="s">
        <v>12</v>
      </c>
      <c r="C311" s="6" t="s">
        <v>13</v>
      </c>
      <c r="D311" s="5" t="s">
        <v>14</v>
      </c>
      <c r="E311" s="11">
        <v>46230</v>
      </c>
      <c r="F311" s="5" t="s">
        <v>15</v>
      </c>
      <c r="G311" s="6" t="s">
        <v>99</v>
      </c>
      <c r="H311" s="6" t="s">
        <v>63</v>
      </c>
      <c r="I311" s="7" t="s">
        <v>100</v>
      </c>
      <c r="J311" s="4" t="s">
        <v>666</v>
      </c>
      <c r="K311" s="5" t="s">
        <v>17</v>
      </c>
      <c r="L311" s="6" t="s">
        <v>29</v>
      </c>
      <c r="M311" s="6" t="s">
        <v>101</v>
      </c>
      <c r="N311" s="13">
        <v>46234</v>
      </c>
      <c r="O311"/>
    </row>
    <row r="312" spans="1:16" x14ac:dyDescent="0.3">
      <c r="A312" s="2">
        <v>38117</v>
      </c>
      <c r="B312" s="2" t="s">
        <v>12</v>
      </c>
      <c r="C312" s="3" t="s">
        <v>13</v>
      </c>
      <c r="D312" s="2" t="s">
        <v>14</v>
      </c>
      <c r="E312" s="11">
        <v>46230</v>
      </c>
      <c r="F312" s="2" t="s">
        <v>15</v>
      </c>
      <c r="G312" s="3" t="s">
        <v>99</v>
      </c>
      <c r="H312" s="3" t="s">
        <v>63</v>
      </c>
      <c r="I312" s="7" t="s">
        <v>275</v>
      </c>
      <c r="J312" s="4" t="s">
        <v>666</v>
      </c>
      <c r="K312" s="2" t="s">
        <v>17</v>
      </c>
      <c r="L312" s="3" t="s">
        <v>29</v>
      </c>
      <c r="M312" s="3" t="s">
        <v>101</v>
      </c>
      <c r="N312" s="13">
        <v>46234</v>
      </c>
      <c r="O312"/>
    </row>
    <row r="313" spans="1:16" x14ac:dyDescent="0.3">
      <c r="A313" s="2">
        <v>38117</v>
      </c>
      <c r="B313" s="2" t="s">
        <v>12</v>
      </c>
      <c r="C313" s="3" t="s">
        <v>13</v>
      </c>
      <c r="D313" s="2" t="s">
        <v>14</v>
      </c>
      <c r="E313" s="11">
        <v>46230</v>
      </c>
      <c r="F313" s="10" t="s">
        <v>15</v>
      </c>
      <c r="G313" s="3" t="s">
        <v>99</v>
      </c>
      <c r="H313" s="3" t="s">
        <v>63</v>
      </c>
      <c r="I313" s="7" t="s">
        <v>149</v>
      </c>
      <c r="J313" s="4" t="s">
        <v>666</v>
      </c>
      <c r="K313" s="2" t="s">
        <v>17</v>
      </c>
      <c r="L313" s="3" t="s">
        <v>29</v>
      </c>
      <c r="M313" s="3" t="s">
        <v>101</v>
      </c>
      <c r="N313" s="13">
        <v>46234</v>
      </c>
      <c r="O313"/>
    </row>
    <row r="314" spans="1:16" x14ac:dyDescent="0.3">
      <c r="A314" s="2">
        <v>38119</v>
      </c>
      <c r="B314" s="2" t="s">
        <v>12</v>
      </c>
      <c r="C314" s="3" t="s">
        <v>13</v>
      </c>
      <c r="D314" s="2" t="s">
        <v>14</v>
      </c>
      <c r="E314" s="11">
        <v>46230</v>
      </c>
      <c r="F314" s="2" t="s">
        <v>15</v>
      </c>
      <c r="G314" s="3" t="s">
        <v>350</v>
      </c>
      <c r="H314" s="3" t="s">
        <v>351</v>
      </c>
      <c r="I314" s="7" t="s">
        <v>510</v>
      </c>
      <c r="J314" s="4" t="s">
        <v>666</v>
      </c>
      <c r="K314" s="2" t="s">
        <v>17</v>
      </c>
      <c r="L314" s="3" t="s">
        <v>29</v>
      </c>
      <c r="M314" s="3" t="s">
        <v>645</v>
      </c>
      <c r="N314" s="13">
        <v>46234</v>
      </c>
      <c r="O314"/>
    </row>
    <row r="315" spans="1:16" x14ac:dyDescent="0.3">
      <c r="A315" s="5">
        <v>38120</v>
      </c>
      <c r="B315" s="5" t="s">
        <v>18</v>
      </c>
      <c r="C315" s="6" t="s">
        <v>13</v>
      </c>
      <c r="D315" s="5" t="s">
        <v>14</v>
      </c>
      <c r="E315" s="11">
        <v>46230</v>
      </c>
      <c r="F315" s="5" t="s">
        <v>15</v>
      </c>
      <c r="G315" s="6" t="s">
        <v>350</v>
      </c>
      <c r="H315" s="6" t="s">
        <v>351</v>
      </c>
      <c r="I315" s="7" t="s">
        <v>483</v>
      </c>
      <c r="J315" s="4" t="s">
        <v>666</v>
      </c>
      <c r="K315" s="5" t="s">
        <v>17</v>
      </c>
      <c r="L315" s="6" t="s">
        <v>29</v>
      </c>
      <c r="M315" s="6" t="s">
        <v>589</v>
      </c>
      <c r="N315" s="13">
        <v>46234</v>
      </c>
      <c r="O315"/>
    </row>
    <row r="316" spans="1:16" x14ac:dyDescent="0.3">
      <c r="A316" s="5">
        <v>38124</v>
      </c>
      <c r="B316" s="5" t="s">
        <v>12</v>
      </c>
      <c r="C316" s="6" t="s">
        <v>13</v>
      </c>
      <c r="D316" s="5" t="s">
        <v>14</v>
      </c>
      <c r="E316" s="11">
        <v>46231</v>
      </c>
      <c r="F316" s="5" t="s">
        <v>15</v>
      </c>
      <c r="G316" s="6" t="s">
        <v>148</v>
      </c>
      <c r="H316" s="6" t="s">
        <v>63</v>
      </c>
      <c r="I316" s="7" t="s">
        <v>149</v>
      </c>
      <c r="J316" s="4" t="s">
        <v>666</v>
      </c>
      <c r="K316" s="5" t="s">
        <v>17</v>
      </c>
      <c r="L316" s="6" t="s">
        <v>29</v>
      </c>
      <c r="M316" s="6" t="s">
        <v>150</v>
      </c>
      <c r="N316" s="13">
        <v>46234</v>
      </c>
      <c r="O316"/>
    </row>
    <row r="317" spans="1:16" x14ac:dyDescent="0.3">
      <c r="A317" s="2">
        <v>38124</v>
      </c>
      <c r="B317" s="2" t="s">
        <v>12</v>
      </c>
      <c r="C317" s="3" t="s">
        <v>13</v>
      </c>
      <c r="D317" s="2" t="s">
        <v>14</v>
      </c>
      <c r="E317" s="11">
        <v>46231</v>
      </c>
      <c r="F317" s="2" t="s">
        <v>15</v>
      </c>
      <c r="G317" s="3" t="s">
        <v>148</v>
      </c>
      <c r="H317" s="3" t="s">
        <v>63</v>
      </c>
      <c r="I317" s="7" t="s">
        <v>151</v>
      </c>
      <c r="J317" s="4" t="s">
        <v>666</v>
      </c>
      <c r="K317" s="2" t="s">
        <v>17</v>
      </c>
      <c r="L317" s="3" t="s">
        <v>29</v>
      </c>
      <c r="M317" s="3" t="s">
        <v>150</v>
      </c>
      <c r="N317" s="13">
        <v>46234</v>
      </c>
      <c r="O317"/>
    </row>
    <row r="318" spans="1:16" x14ac:dyDescent="0.3">
      <c r="A318" s="5">
        <v>38128</v>
      </c>
      <c r="B318" s="5" t="s">
        <v>18</v>
      </c>
      <c r="C318" s="6" t="s">
        <v>19</v>
      </c>
      <c r="D318" s="5" t="s">
        <v>14</v>
      </c>
      <c r="E318" s="11">
        <v>46231</v>
      </c>
      <c r="F318" s="5" t="s">
        <v>15</v>
      </c>
      <c r="G318" s="6" t="s">
        <v>152</v>
      </c>
      <c r="H318" s="6" t="s">
        <v>153</v>
      </c>
      <c r="I318" s="7" t="s">
        <v>42</v>
      </c>
      <c r="J318" s="4" t="s">
        <v>666</v>
      </c>
      <c r="K318" s="5" t="s">
        <v>23</v>
      </c>
      <c r="L318" s="6" t="s">
        <v>29</v>
      </c>
      <c r="M318" s="6" t="s">
        <v>420</v>
      </c>
      <c r="N318" s="13">
        <v>46234</v>
      </c>
      <c r="O318"/>
    </row>
    <row r="319" spans="1:16" x14ac:dyDescent="0.3">
      <c r="A319" s="2">
        <v>38129</v>
      </c>
      <c r="B319" s="2" t="s">
        <v>18</v>
      </c>
      <c r="C319" s="3" t="s">
        <v>19</v>
      </c>
      <c r="D319" s="2" t="s">
        <v>14</v>
      </c>
      <c r="E319" s="11">
        <v>46231</v>
      </c>
      <c r="F319" s="2" t="s">
        <v>15</v>
      </c>
      <c r="G319" s="3" t="s">
        <v>152</v>
      </c>
      <c r="H319" s="3" t="s">
        <v>153</v>
      </c>
      <c r="I319" s="7" t="s">
        <v>421</v>
      </c>
      <c r="J319" s="4" t="s">
        <v>666</v>
      </c>
      <c r="K319" s="2" t="s">
        <v>23</v>
      </c>
      <c r="L319" s="3" t="s">
        <v>29</v>
      </c>
      <c r="M319" s="3" t="s">
        <v>422</v>
      </c>
      <c r="N319" s="13">
        <v>46234</v>
      </c>
      <c r="O319"/>
    </row>
    <row r="320" spans="1:16" x14ac:dyDescent="0.3">
      <c r="A320" s="5">
        <v>38130</v>
      </c>
      <c r="B320" s="5" t="s">
        <v>18</v>
      </c>
      <c r="C320" s="6" t="s">
        <v>19</v>
      </c>
      <c r="D320" s="5" t="s">
        <v>14</v>
      </c>
      <c r="E320" s="11">
        <v>46231</v>
      </c>
      <c r="F320" s="5" t="s">
        <v>15</v>
      </c>
      <c r="G320" s="6" t="s">
        <v>152</v>
      </c>
      <c r="H320" s="6" t="s">
        <v>153</v>
      </c>
      <c r="I320" s="7" t="s">
        <v>154</v>
      </c>
      <c r="J320" s="4" t="s">
        <v>666</v>
      </c>
      <c r="K320" s="5" t="s">
        <v>23</v>
      </c>
      <c r="L320" s="6" t="s">
        <v>29</v>
      </c>
      <c r="M320" s="6" t="s">
        <v>155</v>
      </c>
      <c r="N320" s="13">
        <v>46234</v>
      </c>
      <c r="O320"/>
    </row>
    <row r="321" spans="1:16" x14ac:dyDescent="0.3">
      <c r="A321" s="21">
        <v>38131</v>
      </c>
      <c r="B321" s="21" t="s">
        <v>12</v>
      </c>
      <c r="C321" s="22" t="s">
        <v>13</v>
      </c>
      <c r="D321" s="21" t="s">
        <v>14</v>
      </c>
      <c r="E321" s="23">
        <v>46231</v>
      </c>
      <c r="F321" s="28"/>
      <c r="G321" s="22" t="s">
        <v>234</v>
      </c>
      <c r="H321" s="22" t="s">
        <v>235</v>
      </c>
      <c r="I321" s="8" t="s">
        <v>544</v>
      </c>
      <c r="J321" s="4" t="s">
        <v>667</v>
      </c>
      <c r="K321" s="2" t="s">
        <v>17</v>
      </c>
      <c r="L321" s="3" t="s">
        <v>50</v>
      </c>
      <c r="M321" s="19" t="s">
        <v>51</v>
      </c>
      <c r="N321" s="13">
        <v>46234</v>
      </c>
      <c r="O321"/>
      <c r="P321" t="s">
        <v>672</v>
      </c>
    </row>
    <row r="322" spans="1:16" x14ac:dyDescent="0.3">
      <c r="A322" s="5">
        <v>38132</v>
      </c>
      <c r="B322" s="5" t="s">
        <v>18</v>
      </c>
      <c r="C322" s="6" t="s">
        <v>19</v>
      </c>
      <c r="D322" s="5" t="s">
        <v>14</v>
      </c>
      <c r="E322" s="11">
        <v>46231</v>
      </c>
      <c r="F322" s="5" t="s">
        <v>15</v>
      </c>
      <c r="G322" s="6" t="s">
        <v>152</v>
      </c>
      <c r="H322" s="6" t="s">
        <v>153</v>
      </c>
      <c r="I322" s="7" t="s">
        <v>205</v>
      </c>
      <c r="J322" s="4" t="s">
        <v>666</v>
      </c>
      <c r="K322" s="5" t="s">
        <v>23</v>
      </c>
      <c r="L322" s="6" t="s">
        <v>29</v>
      </c>
      <c r="M322" s="6" t="s">
        <v>606</v>
      </c>
      <c r="N322" s="13">
        <v>46234</v>
      </c>
      <c r="O322"/>
    </row>
    <row r="323" spans="1:16" x14ac:dyDescent="0.3">
      <c r="A323" s="5">
        <v>38133</v>
      </c>
      <c r="B323" s="5" t="s">
        <v>12</v>
      </c>
      <c r="C323" s="6" t="s">
        <v>19</v>
      </c>
      <c r="D323" s="5" t="s">
        <v>14</v>
      </c>
      <c r="E323" s="11">
        <v>46231</v>
      </c>
      <c r="F323" s="5" t="s">
        <v>15</v>
      </c>
      <c r="G323" s="6" t="s">
        <v>555</v>
      </c>
      <c r="H323" s="6" t="s">
        <v>21</v>
      </c>
      <c r="I323" s="7" t="s">
        <v>556</v>
      </c>
      <c r="J323" s="4" t="s">
        <v>666</v>
      </c>
      <c r="K323" s="5" t="s">
        <v>23</v>
      </c>
      <c r="L323" s="6" t="s">
        <v>29</v>
      </c>
      <c r="M323" s="6" t="s">
        <v>557</v>
      </c>
      <c r="N323" s="13">
        <v>46234</v>
      </c>
      <c r="O323"/>
    </row>
    <row r="324" spans="1:16" ht="72" x14ac:dyDescent="0.3">
      <c r="A324" s="21">
        <v>38140</v>
      </c>
      <c r="B324" s="21" t="s">
        <v>12</v>
      </c>
      <c r="C324" s="22" t="s">
        <v>39</v>
      </c>
      <c r="D324" s="21" t="s">
        <v>14</v>
      </c>
      <c r="E324" s="23">
        <v>46231</v>
      </c>
      <c r="F324" s="21" t="s">
        <v>15</v>
      </c>
      <c r="G324" s="22" t="s">
        <v>407</v>
      </c>
      <c r="H324" s="22" t="s">
        <v>91</v>
      </c>
      <c r="I324" s="4" t="s">
        <v>278</v>
      </c>
      <c r="J324" s="4" t="s">
        <v>667</v>
      </c>
      <c r="K324" s="2" t="s">
        <v>23</v>
      </c>
      <c r="L324" s="3" t="s">
        <v>55</v>
      </c>
      <c r="M324" s="19" t="s">
        <v>607</v>
      </c>
      <c r="N324" s="13">
        <v>46234</v>
      </c>
      <c r="O324"/>
      <c r="P324" t="s">
        <v>672</v>
      </c>
    </row>
    <row r="325" spans="1:16" x14ac:dyDescent="0.3">
      <c r="A325" s="2">
        <v>38141</v>
      </c>
      <c r="B325" s="2" t="s">
        <v>12</v>
      </c>
      <c r="C325" s="3" t="s">
        <v>13</v>
      </c>
      <c r="D325" s="2" t="s">
        <v>14</v>
      </c>
      <c r="E325" s="11">
        <v>46231</v>
      </c>
      <c r="F325" s="2" t="s">
        <v>15</v>
      </c>
      <c r="G325" s="3" t="s">
        <v>309</v>
      </c>
      <c r="H325" s="3" t="s">
        <v>199</v>
      </c>
      <c r="I325" s="7" t="s">
        <v>310</v>
      </c>
      <c r="J325" s="4" t="s">
        <v>666</v>
      </c>
      <c r="K325" s="2" t="s">
        <v>23</v>
      </c>
      <c r="L325" s="3" t="s">
        <v>29</v>
      </c>
      <c r="M325" s="3" t="s">
        <v>311</v>
      </c>
      <c r="N325" s="13">
        <v>46234</v>
      </c>
      <c r="O325"/>
    </row>
    <row r="326" spans="1:16" x14ac:dyDescent="0.3">
      <c r="A326" s="5">
        <v>38141</v>
      </c>
      <c r="B326" s="5" t="s">
        <v>12</v>
      </c>
      <c r="C326" s="6" t="s">
        <v>13</v>
      </c>
      <c r="D326" s="5" t="s">
        <v>14</v>
      </c>
      <c r="E326" s="11">
        <v>46231</v>
      </c>
      <c r="F326" s="5" t="s">
        <v>15</v>
      </c>
      <c r="G326" s="6" t="s">
        <v>309</v>
      </c>
      <c r="H326" s="6" t="s">
        <v>199</v>
      </c>
      <c r="I326" s="7" t="s">
        <v>312</v>
      </c>
      <c r="J326" s="4" t="s">
        <v>666</v>
      </c>
      <c r="K326" s="5" t="s">
        <v>17</v>
      </c>
      <c r="L326" s="6" t="s">
        <v>29</v>
      </c>
      <c r="M326" s="6" t="s">
        <v>311</v>
      </c>
      <c r="N326" s="13">
        <v>46234</v>
      </c>
      <c r="O326"/>
    </row>
    <row r="327" spans="1:16" x14ac:dyDescent="0.3">
      <c r="A327" s="5">
        <v>38141</v>
      </c>
      <c r="B327" s="5" t="s">
        <v>12</v>
      </c>
      <c r="C327" s="6" t="s">
        <v>13</v>
      </c>
      <c r="D327" s="5" t="s">
        <v>14</v>
      </c>
      <c r="E327" s="11">
        <v>46231</v>
      </c>
      <c r="F327" s="5" t="s">
        <v>15</v>
      </c>
      <c r="G327" s="6" t="s">
        <v>309</v>
      </c>
      <c r="H327" s="6" t="s">
        <v>199</v>
      </c>
      <c r="I327" s="7" t="s">
        <v>423</v>
      </c>
      <c r="J327" s="4" t="s">
        <v>666</v>
      </c>
      <c r="K327" s="5" t="s">
        <v>17</v>
      </c>
      <c r="L327" s="6" t="s">
        <v>29</v>
      </c>
      <c r="M327" s="6" t="s">
        <v>311</v>
      </c>
      <c r="N327" s="13">
        <v>46234</v>
      </c>
      <c r="O327"/>
    </row>
    <row r="328" spans="1:16" x14ac:dyDescent="0.3">
      <c r="A328" s="2">
        <v>38141</v>
      </c>
      <c r="B328" s="2" t="s">
        <v>12</v>
      </c>
      <c r="C328" s="3" t="s">
        <v>13</v>
      </c>
      <c r="D328" s="2" t="s">
        <v>14</v>
      </c>
      <c r="E328" s="11">
        <v>46231</v>
      </c>
      <c r="F328" s="2" t="s">
        <v>15</v>
      </c>
      <c r="G328" s="3" t="s">
        <v>309</v>
      </c>
      <c r="H328" s="3" t="s">
        <v>199</v>
      </c>
      <c r="I328" s="7" t="s">
        <v>558</v>
      </c>
      <c r="J328" s="4" t="s">
        <v>666</v>
      </c>
      <c r="K328" s="2" t="s">
        <v>17</v>
      </c>
      <c r="L328" s="3" t="s">
        <v>29</v>
      </c>
      <c r="M328" s="3" t="s">
        <v>311</v>
      </c>
      <c r="N328" s="13">
        <v>46234</v>
      </c>
      <c r="O328"/>
    </row>
    <row r="329" spans="1:16" x14ac:dyDescent="0.3">
      <c r="A329" s="2">
        <v>38168</v>
      </c>
      <c r="B329" s="2" t="s">
        <v>12</v>
      </c>
      <c r="C329" s="3" t="s">
        <v>13</v>
      </c>
      <c r="D329" s="2" t="s">
        <v>14</v>
      </c>
      <c r="E329" s="11">
        <v>46231</v>
      </c>
      <c r="F329" s="2" t="s">
        <v>15</v>
      </c>
      <c r="G329" s="3" t="s">
        <v>418</v>
      </c>
      <c r="H329" s="3" t="s">
        <v>61</v>
      </c>
      <c r="I329" s="7" t="s">
        <v>424</v>
      </c>
      <c r="J329" s="4" t="s">
        <v>666</v>
      </c>
      <c r="K329" s="2" t="s">
        <v>17</v>
      </c>
      <c r="L329" s="3" t="s">
        <v>29</v>
      </c>
      <c r="M329" s="3" t="s">
        <v>425</v>
      </c>
      <c r="N329" s="13">
        <v>46234</v>
      </c>
      <c r="O329"/>
    </row>
    <row r="330" spans="1:16" x14ac:dyDescent="0.3">
      <c r="A330" s="5">
        <v>38168</v>
      </c>
      <c r="B330" s="5" t="s">
        <v>12</v>
      </c>
      <c r="C330" s="6" t="s">
        <v>13</v>
      </c>
      <c r="D330" s="5" t="s">
        <v>14</v>
      </c>
      <c r="E330" s="11">
        <v>46231</v>
      </c>
      <c r="F330" s="5" t="s">
        <v>15</v>
      </c>
      <c r="G330" s="6" t="s">
        <v>418</v>
      </c>
      <c r="H330" s="6" t="s">
        <v>61</v>
      </c>
      <c r="I330" s="7" t="s">
        <v>124</v>
      </c>
      <c r="J330" s="4" t="s">
        <v>666</v>
      </c>
      <c r="K330" s="5" t="s">
        <v>17</v>
      </c>
      <c r="L330" s="6" t="s">
        <v>29</v>
      </c>
      <c r="M330" s="6" t="s">
        <v>425</v>
      </c>
      <c r="N330" s="13">
        <v>46234</v>
      </c>
      <c r="O330"/>
    </row>
    <row r="331" spans="1:16" ht="28.8" x14ac:dyDescent="0.3">
      <c r="A331" s="21">
        <v>38170</v>
      </c>
      <c r="B331" s="21" t="s">
        <v>18</v>
      </c>
      <c r="C331" s="22" t="s">
        <v>39</v>
      </c>
      <c r="D331" s="21" t="s">
        <v>14</v>
      </c>
      <c r="E331" s="23">
        <v>46231</v>
      </c>
      <c r="F331" s="21" t="s">
        <v>15</v>
      </c>
      <c r="G331" s="22" t="s">
        <v>426</v>
      </c>
      <c r="H331" s="22" t="s">
        <v>427</v>
      </c>
      <c r="I331" s="4" t="s">
        <v>42</v>
      </c>
      <c r="J331" s="4" t="s">
        <v>667</v>
      </c>
      <c r="K331" s="5" t="s">
        <v>23</v>
      </c>
      <c r="L331" s="6" t="s">
        <v>43</v>
      </c>
      <c r="M331" s="18" t="s">
        <v>285</v>
      </c>
      <c r="N331" s="13">
        <v>46234</v>
      </c>
      <c r="O331"/>
      <c r="P331" t="s">
        <v>672</v>
      </c>
    </row>
    <row r="332" spans="1:16" ht="28.8" x14ac:dyDescent="0.3">
      <c r="A332" s="21">
        <v>38173</v>
      </c>
      <c r="B332" s="21" t="s">
        <v>12</v>
      </c>
      <c r="C332" s="22" t="s">
        <v>39</v>
      </c>
      <c r="D332" s="21" t="s">
        <v>14</v>
      </c>
      <c r="E332" s="23">
        <v>46231</v>
      </c>
      <c r="F332" s="21" t="s">
        <v>15</v>
      </c>
      <c r="G332" s="22" t="s">
        <v>426</v>
      </c>
      <c r="H332" s="22" t="s">
        <v>427</v>
      </c>
      <c r="I332" s="4" t="s">
        <v>654</v>
      </c>
      <c r="J332" s="4" t="s">
        <v>667</v>
      </c>
      <c r="K332" s="5" t="s">
        <v>23</v>
      </c>
      <c r="L332" s="6" t="s">
        <v>321</v>
      </c>
      <c r="M332" s="18" t="s">
        <v>655</v>
      </c>
      <c r="N332" s="13">
        <v>46234</v>
      </c>
      <c r="O332"/>
      <c r="P332" t="s">
        <v>672</v>
      </c>
    </row>
    <row r="333" spans="1:16" x14ac:dyDescent="0.3">
      <c r="A333" s="2">
        <v>38175</v>
      </c>
      <c r="B333" s="2" t="s">
        <v>12</v>
      </c>
      <c r="C333" s="3" t="s">
        <v>13</v>
      </c>
      <c r="D333" s="2" t="s">
        <v>14</v>
      </c>
      <c r="E333" s="11">
        <v>46231</v>
      </c>
      <c r="F333" s="2" t="s">
        <v>15</v>
      </c>
      <c r="G333" s="3" t="s">
        <v>254</v>
      </c>
      <c r="H333" s="3" t="s">
        <v>27</v>
      </c>
      <c r="I333" s="7" t="s">
        <v>428</v>
      </c>
      <c r="J333" s="4" t="s">
        <v>666</v>
      </c>
      <c r="K333" s="2" t="s">
        <v>17</v>
      </c>
      <c r="L333" s="3" t="s">
        <v>29</v>
      </c>
      <c r="M333" s="3" t="s">
        <v>429</v>
      </c>
      <c r="N333" s="13">
        <v>46234</v>
      </c>
      <c r="O333"/>
    </row>
    <row r="334" spans="1:16" x14ac:dyDescent="0.3">
      <c r="A334" s="5">
        <v>38175</v>
      </c>
      <c r="B334" s="5" t="s">
        <v>12</v>
      </c>
      <c r="C334" s="6" t="s">
        <v>13</v>
      </c>
      <c r="D334" s="5" t="s">
        <v>14</v>
      </c>
      <c r="E334" s="11">
        <v>46231</v>
      </c>
      <c r="F334" s="5" t="s">
        <v>15</v>
      </c>
      <c r="G334" s="6" t="s">
        <v>254</v>
      </c>
      <c r="H334" s="6" t="s">
        <v>27</v>
      </c>
      <c r="I334" s="7" t="s">
        <v>160</v>
      </c>
      <c r="J334" s="4" t="s">
        <v>666</v>
      </c>
      <c r="K334" s="5" t="s">
        <v>17</v>
      </c>
      <c r="L334" s="6" t="s">
        <v>29</v>
      </c>
      <c r="M334" s="6" t="s">
        <v>429</v>
      </c>
      <c r="N334" s="13">
        <v>46234</v>
      </c>
      <c r="O334"/>
    </row>
    <row r="335" spans="1:16" x14ac:dyDescent="0.3">
      <c r="A335" s="5">
        <v>38175</v>
      </c>
      <c r="B335" s="5" t="s">
        <v>12</v>
      </c>
      <c r="C335" s="6" t="s">
        <v>13</v>
      </c>
      <c r="D335" s="5" t="s">
        <v>14</v>
      </c>
      <c r="E335" s="11">
        <v>46231</v>
      </c>
      <c r="F335" s="5" t="s">
        <v>15</v>
      </c>
      <c r="G335" s="6" t="s">
        <v>254</v>
      </c>
      <c r="H335" s="6" t="s">
        <v>27</v>
      </c>
      <c r="I335" s="7" t="s">
        <v>505</v>
      </c>
      <c r="J335" s="4" t="s">
        <v>666</v>
      </c>
      <c r="K335" s="5" t="s">
        <v>17</v>
      </c>
      <c r="L335" s="6" t="s">
        <v>29</v>
      </c>
      <c r="M335" s="6" t="s">
        <v>429</v>
      </c>
      <c r="N335" s="13">
        <v>46234</v>
      </c>
      <c r="O335"/>
    </row>
    <row r="336" spans="1:16" x14ac:dyDescent="0.3">
      <c r="A336" s="2">
        <v>38175</v>
      </c>
      <c r="B336" s="2" t="s">
        <v>12</v>
      </c>
      <c r="C336" s="3" t="s">
        <v>13</v>
      </c>
      <c r="D336" s="2" t="s">
        <v>14</v>
      </c>
      <c r="E336" s="11">
        <v>46231</v>
      </c>
      <c r="F336" s="2" t="s">
        <v>15</v>
      </c>
      <c r="G336" s="3" t="s">
        <v>254</v>
      </c>
      <c r="H336" s="3" t="s">
        <v>27</v>
      </c>
      <c r="I336" s="7" t="s">
        <v>428</v>
      </c>
      <c r="J336" s="4" t="s">
        <v>666</v>
      </c>
      <c r="K336" s="2" t="s">
        <v>17</v>
      </c>
      <c r="L336" s="3" t="s">
        <v>29</v>
      </c>
      <c r="M336" s="3" t="s">
        <v>429</v>
      </c>
      <c r="N336" s="13">
        <v>46234</v>
      </c>
      <c r="O336"/>
    </row>
    <row r="337" spans="1:16" x14ac:dyDescent="0.3">
      <c r="A337" s="2">
        <v>38175</v>
      </c>
      <c r="B337" s="2" t="s">
        <v>12</v>
      </c>
      <c r="C337" s="3" t="s">
        <v>13</v>
      </c>
      <c r="D337" s="2" t="s">
        <v>14</v>
      </c>
      <c r="E337" s="11">
        <v>46231</v>
      </c>
      <c r="F337" s="2" t="s">
        <v>15</v>
      </c>
      <c r="G337" s="3" t="s">
        <v>254</v>
      </c>
      <c r="H337" s="3" t="s">
        <v>27</v>
      </c>
      <c r="I337" s="7" t="s">
        <v>100</v>
      </c>
      <c r="J337" s="4" t="s">
        <v>666</v>
      </c>
      <c r="K337" s="2" t="s">
        <v>17</v>
      </c>
      <c r="L337" s="3" t="s">
        <v>29</v>
      </c>
      <c r="M337" s="3" t="s">
        <v>429</v>
      </c>
      <c r="N337" s="13">
        <v>46234</v>
      </c>
      <c r="O337"/>
    </row>
    <row r="338" spans="1:16" x14ac:dyDescent="0.3">
      <c r="A338" s="2">
        <v>38177</v>
      </c>
      <c r="B338" s="2" t="s">
        <v>12</v>
      </c>
      <c r="C338" s="3" t="s">
        <v>13</v>
      </c>
      <c r="D338" s="2" t="s">
        <v>14</v>
      </c>
      <c r="E338" s="11">
        <v>46231</v>
      </c>
      <c r="F338" s="2" t="s">
        <v>15</v>
      </c>
      <c r="G338" s="3" t="s">
        <v>143</v>
      </c>
      <c r="H338" s="3" t="s">
        <v>27</v>
      </c>
      <c r="I338" s="7" t="s">
        <v>156</v>
      </c>
      <c r="J338" s="4" t="s">
        <v>666</v>
      </c>
      <c r="K338" s="2" t="s">
        <v>17</v>
      </c>
      <c r="L338" s="3" t="s">
        <v>29</v>
      </c>
      <c r="M338" s="3" t="s">
        <v>157</v>
      </c>
      <c r="N338" s="13">
        <v>46234</v>
      </c>
      <c r="O338"/>
    </row>
    <row r="339" spans="1:16" x14ac:dyDescent="0.3">
      <c r="A339" s="5">
        <v>38177</v>
      </c>
      <c r="B339" s="5" t="s">
        <v>12</v>
      </c>
      <c r="C339" s="6" t="s">
        <v>13</v>
      </c>
      <c r="D339" s="5" t="s">
        <v>14</v>
      </c>
      <c r="E339" s="11">
        <v>46231</v>
      </c>
      <c r="F339" s="5" t="s">
        <v>15</v>
      </c>
      <c r="G339" s="6" t="s">
        <v>143</v>
      </c>
      <c r="H339" s="6" t="s">
        <v>27</v>
      </c>
      <c r="I339" s="7" t="s">
        <v>158</v>
      </c>
      <c r="J339" s="4" t="s">
        <v>666</v>
      </c>
      <c r="K339" s="5" t="s">
        <v>23</v>
      </c>
      <c r="L339" s="6" t="s">
        <v>29</v>
      </c>
      <c r="M339" s="6" t="s">
        <v>157</v>
      </c>
      <c r="N339" s="13">
        <v>46234</v>
      </c>
      <c r="O339"/>
    </row>
    <row r="340" spans="1:16" x14ac:dyDescent="0.3">
      <c r="A340" s="2">
        <v>38177</v>
      </c>
      <c r="B340" s="2" t="s">
        <v>12</v>
      </c>
      <c r="C340" s="3" t="s">
        <v>13</v>
      </c>
      <c r="D340" s="2" t="s">
        <v>14</v>
      </c>
      <c r="E340" s="11">
        <v>46231</v>
      </c>
      <c r="F340" s="2" t="s">
        <v>15</v>
      </c>
      <c r="G340" s="3" t="s">
        <v>143</v>
      </c>
      <c r="H340" s="3" t="s">
        <v>27</v>
      </c>
      <c r="I340" s="7" t="s">
        <v>313</v>
      </c>
      <c r="J340" s="4" t="s">
        <v>666</v>
      </c>
      <c r="K340" s="2" t="s">
        <v>23</v>
      </c>
      <c r="L340" s="3" t="s">
        <v>29</v>
      </c>
      <c r="M340" s="3" t="s">
        <v>157</v>
      </c>
      <c r="N340" s="13">
        <v>46234</v>
      </c>
      <c r="O340"/>
    </row>
    <row r="341" spans="1:16" x14ac:dyDescent="0.3">
      <c r="A341" s="5">
        <v>38177</v>
      </c>
      <c r="B341" s="5" t="s">
        <v>12</v>
      </c>
      <c r="C341" s="6" t="s">
        <v>13</v>
      </c>
      <c r="D341" s="5" t="s">
        <v>14</v>
      </c>
      <c r="E341" s="11">
        <v>46231</v>
      </c>
      <c r="F341" s="5" t="s">
        <v>15</v>
      </c>
      <c r="G341" s="6" t="s">
        <v>143</v>
      </c>
      <c r="H341" s="6" t="s">
        <v>27</v>
      </c>
      <c r="I341" s="7" t="s">
        <v>165</v>
      </c>
      <c r="J341" s="4" t="s">
        <v>666</v>
      </c>
      <c r="K341" s="5" t="s">
        <v>17</v>
      </c>
      <c r="L341" s="6" t="s">
        <v>29</v>
      </c>
      <c r="M341" s="6" t="s">
        <v>157</v>
      </c>
      <c r="N341" s="13">
        <v>46234</v>
      </c>
      <c r="O341"/>
    </row>
    <row r="342" spans="1:16" x14ac:dyDescent="0.3">
      <c r="A342" s="5">
        <v>38177</v>
      </c>
      <c r="B342" s="5" t="s">
        <v>12</v>
      </c>
      <c r="C342" s="6" t="s">
        <v>13</v>
      </c>
      <c r="D342" s="5" t="s">
        <v>14</v>
      </c>
      <c r="E342" s="11">
        <v>46231</v>
      </c>
      <c r="F342" s="5" t="s">
        <v>15</v>
      </c>
      <c r="G342" s="6" t="s">
        <v>143</v>
      </c>
      <c r="H342" s="6" t="s">
        <v>27</v>
      </c>
      <c r="I342" s="7" t="s">
        <v>608</v>
      </c>
      <c r="J342" s="4" t="s">
        <v>666</v>
      </c>
      <c r="K342" s="5" t="s">
        <v>17</v>
      </c>
      <c r="L342" s="6" t="s">
        <v>29</v>
      </c>
      <c r="M342" s="6" t="s">
        <v>157</v>
      </c>
      <c r="N342" s="13">
        <v>46234</v>
      </c>
      <c r="O342"/>
    </row>
    <row r="343" spans="1:16" x14ac:dyDescent="0.3">
      <c r="A343" s="21">
        <v>38179</v>
      </c>
      <c r="B343" s="21" t="s">
        <v>12</v>
      </c>
      <c r="C343" s="22" t="s">
        <v>13</v>
      </c>
      <c r="D343" s="21" t="s">
        <v>14</v>
      </c>
      <c r="E343" s="23">
        <v>46232</v>
      </c>
      <c r="F343" s="28"/>
      <c r="G343" s="22" t="s">
        <v>234</v>
      </c>
      <c r="H343" s="22" t="s">
        <v>235</v>
      </c>
      <c r="I343" s="8" t="s">
        <v>314</v>
      </c>
      <c r="J343" s="4" t="s">
        <v>667</v>
      </c>
      <c r="K343" s="5" t="s">
        <v>17</v>
      </c>
      <c r="L343" s="6" t="s">
        <v>50</v>
      </c>
      <c r="M343" s="18" t="s">
        <v>51</v>
      </c>
      <c r="N343" s="13">
        <v>46234</v>
      </c>
      <c r="O343"/>
      <c r="P343" t="s">
        <v>672</v>
      </c>
    </row>
    <row r="344" spans="1:16" x14ac:dyDescent="0.3">
      <c r="A344" s="21">
        <v>38179</v>
      </c>
      <c r="B344" s="21" t="s">
        <v>12</v>
      </c>
      <c r="C344" s="22" t="s">
        <v>13</v>
      </c>
      <c r="D344" s="21" t="s">
        <v>14</v>
      </c>
      <c r="E344" s="23">
        <v>46232</v>
      </c>
      <c r="F344" s="27"/>
      <c r="G344" s="22" t="s">
        <v>234</v>
      </c>
      <c r="H344" s="22" t="s">
        <v>235</v>
      </c>
      <c r="I344" s="8" t="s">
        <v>315</v>
      </c>
      <c r="J344" s="4" t="s">
        <v>667</v>
      </c>
      <c r="K344" s="2" t="s">
        <v>17</v>
      </c>
      <c r="L344" s="3" t="s">
        <v>50</v>
      </c>
      <c r="M344" s="19" t="s">
        <v>51</v>
      </c>
      <c r="N344" s="13">
        <v>46234</v>
      </c>
      <c r="O344"/>
      <c r="P344" t="s">
        <v>672</v>
      </c>
    </row>
    <row r="345" spans="1:16" x14ac:dyDescent="0.3">
      <c r="A345" s="2">
        <v>38183</v>
      </c>
      <c r="B345" s="2" t="s">
        <v>12</v>
      </c>
      <c r="C345" s="3" t="s">
        <v>13</v>
      </c>
      <c r="D345" s="2" t="s">
        <v>14</v>
      </c>
      <c r="E345" s="11">
        <v>46232</v>
      </c>
      <c r="F345" s="2" t="s">
        <v>15</v>
      </c>
      <c r="G345" s="3" t="s">
        <v>430</v>
      </c>
      <c r="H345" s="3" t="s">
        <v>27</v>
      </c>
      <c r="I345" s="7" t="s">
        <v>135</v>
      </c>
      <c r="J345" s="4" t="s">
        <v>666</v>
      </c>
      <c r="K345" s="2" t="s">
        <v>23</v>
      </c>
      <c r="L345" s="3" t="s">
        <v>29</v>
      </c>
      <c r="M345" s="3" t="s">
        <v>353</v>
      </c>
      <c r="N345" s="13">
        <v>46234</v>
      </c>
      <c r="O345"/>
    </row>
    <row r="346" spans="1:16" x14ac:dyDescent="0.3">
      <c r="A346" s="2">
        <v>38183</v>
      </c>
      <c r="B346" s="2" t="s">
        <v>12</v>
      </c>
      <c r="C346" s="3" t="s">
        <v>13</v>
      </c>
      <c r="D346" s="2" t="s">
        <v>14</v>
      </c>
      <c r="E346" s="11">
        <v>46232</v>
      </c>
      <c r="F346" s="2" t="s">
        <v>15</v>
      </c>
      <c r="G346" s="3" t="s">
        <v>430</v>
      </c>
      <c r="H346" s="3" t="s">
        <v>27</v>
      </c>
      <c r="I346" s="7" t="s">
        <v>559</v>
      </c>
      <c r="J346" s="4" t="s">
        <v>666</v>
      </c>
      <c r="K346" s="2" t="s">
        <v>23</v>
      </c>
      <c r="L346" s="3" t="s">
        <v>29</v>
      </c>
      <c r="M346" s="3" t="s">
        <v>353</v>
      </c>
      <c r="N346" s="13">
        <v>46234</v>
      </c>
      <c r="O346"/>
    </row>
    <row r="347" spans="1:16" x14ac:dyDescent="0.3">
      <c r="A347" s="2">
        <v>38183</v>
      </c>
      <c r="B347" s="2" t="s">
        <v>12</v>
      </c>
      <c r="C347" s="3" t="s">
        <v>13</v>
      </c>
      <c r="D347" s="2" t="s">
        <v>14</v>
      </c>
      <c r="E347" s="11">
        <v>46232</v>
      </c>
      <c r="F347" s="2" t="s">
        <v>15</v>
      </c>
      <c r="G347" s="3" t="s">
        <v>430</v>
      </c>
      <c r="H347" s="3" t="s">
        <v>27</v>
      </c>
      <c r="I347" s="7" t="s">
        <v>609</v>
      </c>
      <c r="J347" s="4" t="s">
        <v>666</v>
      </c>
      <c r="K347" s="2" t="s">
        <v>23</v>
      </c>
      <c r="L347" s="3" t="s">
        <v>29</v>
      </c>
      <c r="M347" s="3" t="s">
        <v>353</v>
      </c>
      <c r="N347" s="13">
        <v>46234</v>
      </c>
      <c r="O347"/>
    </row>
    <row r="348" spans="1:16" x14ac:dyDescent="0.3">
      <c r="A348" s="5">
        <v>38188</v>
      </c>
      <c r="B348" s="5" t="s">
        <v>12</v>
      </c>
      <c r="C348" s="6" t="s">
        <v>13</v>
      </c>
      <c r="D348" s="5" t="s">
        <v>14</v>
      </c>
      <c r="E348" s="11">
        <v>46232</v>
      </c>
      <c r="F348" s="5" t="s">
        <v>15</v>
      </c>
      <c r="G348" s="6" t="s">
        <v>131</v>
      </c>
      <c r="H348" s="6" t="s">
        <v>27</v>
      </c>
      <c r="I348" s="7" t="s">
        <v>160</v>
      </c>
      <c r="J348" s="4" t="s">
        <v>666</v>
      </c>
      <c r="K348" s="5" t="s">
        <v>17</v>
      </c>
      <c r="L348" s="6" t="s">
        <v>29</v>
      </c>
      <c r="M348" s="6" t="s">
        <v>161</v>
      </c>
      <c r="N348" s="13">
        <v>46234</v>
      </c>
      <c r="O348"/>
    </row>
    <row r="349" spans="1:16" x14ac:dyDescent="0.3">
      <c r="A349" s="5">
        <v>38188</v>
      </c>
      <c r="B349" s="5" t="s">
        <v>12</v>
      </c>
      <c r="C349" s="6" t="s">
        <v>13</v>
      </c>
      <c r="D349" s="5" t="s">
        <v>14</v>
      </c>
      <c r="E349" s="11">
        <v>46232</v>
      </c>
      <c r="F349" s="5" t="s">
        <v>15</v>
      </c>
      <c r="G349" s="6" t="s">
        <v>131</v>
      </c>
      <c r="H349" s="6" t="s">
        <v>27</v>
      </c>
      <c r="I349" s="7" t="s">
        <v>100</v>
      </c>
      <c r="J349" s="4" t="s">
        <v>666</v>
      </c>
      <c r="K349" s="5" t="s">
        <v>17</v>
      </c>
      <c r="L349" s="6" t="s">
        <v>29</v>
      </c>
      <c r="M349" s="6" t="s">
        <v>161</v>
      </c>
      <c r="N349" s="13">
        <v>46234</v>
      </c>
      <c r="O349"/>
    </row>
    <row r="350" spans="1:16" x14ac:dyDescent="0.3">
      <c r="A350" s="2">
        <v>38189</v>
      </c>
      <c r="B350" s="2" t="s">
        <v>12</v>
      </c>
      <c r="C350" s="3" t="s">
        <v>13</v>
      </c>
      <c r="D350" s="2" t="s">
        <v>14</v>
      </c>
      <c r="E350" s="11">
        <v>46232</v>
      </c>
      <c r="F350" s="2" t="s">
        <v>15</v>
      </c>
      <c r="G350" s="3" t="s">
        <v>162</v>
      </c>
      <c r="H350" s="3" t="s">
        <v>61</v>
      </c>
      <c r="I350" s="7" t="s">
        <v>104</v>
      </c>
      <c r="J350" s="4" t="s">
        <v>666</v>
      </c>
      <c r="K350" s="2" t="s">
        <v>23</v>
      </c>
      <c r="L350" s="3" t="s">
        <v>29</v>
      </c>
      <c r="M350" s="3" t="s">
        <v>163</v>
      </c>
      <c r="N350" s="13">
        <v>46234</v>
      </c>
      <c r="O350"/>
    </row>
    <row r="351" spans="1:16" x14ac:dyDescent="0.3">
      <c r="A351" s="5">
        <v>38361</v>
      </c>
      <c r="B351" s="5" t="s">
        <v>12</v>
      </c>
      <c r="C351" s="6" t="s">
        <v>13</v>
      </c>
      <c r="D351" s="5" t="s">
        <v>14</v>
      </c>
      <c r="E351" s="11">
        <v>46233</v>
      </c>
      <c r="F351" s="5" t="s">
        <v>15</v>
      </c>
      <c r="G351" s="6" t="s">
        <v>323</v>
      </c>
      <c r="H351" s="6" t="s">
        <v>41</v>
      </c>
      <c r="I351" s="7" t="s">
        <v>324</v>
      </c>
      <c r="J351" s="4" t="s">
        <v>666</v>
      </c>
      <c r="K351" s="5" t="s">
        <v>23</v>
      </c>
      <c r="L351" s="6" t="s">
        <v>29</v>
      </c>
      <c r="M351" s="6" t="s">
        <v>325</v>
      </c>
      <c r="N351" s="13">
        <v>46234</v>
      </c>
      <c r="O351"/>
    </row>
    <row r="352" spans="1:16" x14ac:dyDescent="0.3">
      <c r="A352" s="2">
        <v>38361</v>
      </c>
      <c r="B352" s="2" t="s">
        <v>12</v>
      </c>
      <c r="C352" s="3" t="s">
        <v>13</v>
      </c>
      <c r="D352" s="2" t="s">
        <v>14</v>
      </c>
      <c r="E352" s="11">
        <v>46233</v>
      </c>
      <c r="F352" s="2" t="s">
        <v>15</v>
      </c>
      <c r="G352" s="3" t="s">
        <v>323</v>
      </c>
      <c r="H352" s="3" t="s">
        <v>41</v>
      </c>
      <c r="I352" s="7" t="s">
        <v>507</v>
      </c>
      <c r="J352" s="4" t="s">
        <v>666</v>
      </c>
      <c r="K352" s="2" t="s">
        <v>23</v>
      </c>
      <c r="L352" s="3" t="s">
        <v>29</v>
      </c>
      <c r="M352" s="3" t="s">
        <v>325</v>
      </c>
      <c r="N352" s="13">
        <v>46234</v>
      </c>
      <c r="O352"/>
    </row>
  </sheetData>
  <autoFilter ref="A1:P352"/>
  <sortState ref="A2:P368">
    <sortCondition ref="E2:E368"/>
    <sortCondition ref="A2:A368"/>
  </sortState>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Auditoría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2026-07-31T11:58:41Z</dcterms:created>
  <dcterms:modified xsi:type="dcterms:W3CDTF">2026-07-31T16:39:23Z</dcterms:modified>
  <cp:category/>
</cp:coreProperties>
</file>